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deepa\Downloads\"/>
    </mc:Choice>
  </mc:AlternateContent>
  <xr:revisionPtr revIDLastSave="0" documentId="8_{F72BFAA8-ED76-4E12-A4C0-446957779EFE}" xr6:coauthVersionLast="47" xr6:coauthVersionMax="47" xr10:uidLastSave="{00000000-0000-0000-0000-000000000000}"/>
  <bookViews>
    <workbookView xWindow="-110" yWindow="-110" windowWidth="19420" windowHeight="10300" tabRatio="500" activeTab="1" xr2:uid="{00000000-000D-0000-FFFF-FFFF00000000}"/>
  </bookViews>
  <sheets>
    <sheet name="Project Plan" sheetId="1" r:id="rId1"/>
    <sheet name="Stakeholder View" sheetId="2" r:id="rId2"/>
  </sheets>
  <definedNames>
    <definedName name="_xlnm._FilterDatabase" localSheetId="0" hidden="1">'Project Plan'!$B$3:$H$135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15" i="2" l="1"/>
  <c r="F16" i="2"/>
  <c r="F17" i="2" l="1"/>
</calcChain>
</file>

<file path=xl/sharedStrings.xml><?xml version="1.0" encoding="utf-8"?>
<sst xmlns="http://schemas.openxmlformats.org/spreadsheetml/2006/main" count="672" uniqueCount="311">
  <si>
    <t>Sprint 1 — Foundation</t>
  </si>
  <si>
    <t>Sprint 2 — Integration</t>
  </si>
  <si>
    <t>Sprint 3 — Production</t>
  </si>
  <si>
    <t>Sprint 4 — Mobile &amp; CRM</t>
  </si>
  <si>
    <t>Sprint 5 — Particle.io</t>
  </si>
  <si>
    <t>Sprint 6 — Unified SSO</t>
  </si>
  <si>
    <t>#</t>
  </si>
  <si>
    <t>Phase / Category</t>
  </si>
  <si>
    <t>Sprint / Group</t>
  </si>
  <si>
    <t>Deliverable</t>
  </si>
  <si>
    <t>Owner</t>
  </si>
  <si>
    <t>Status</t>
  </si>
  <si>
    <t>W1</t>
  </si>
  <si>
    <t>W2</t>
  </si>
  <si>
    <t>W3</t>
  </si>
  <si>
    <t>W4</t>
  </si>
  <si>
    <t>W5</t>
  </si>
  <si>
    <t>W6</t>
  </si>
  <si>
    <t>W7</t>
  </si>
  <si>
    <t>W8</t>
  </si>
  <si>
    <t>W9</t>
  </si>
  <si>
    <t>W10</t>
  </si>
  <si>
    <t>W11</t>
  </si>
  <si>
    <t>W12</t>
  </si>
  <si>
    <t>W13</t>
  </si>
  <si>
    <t>W14</t>
  </si>
  <si>
    <t>W15</t>
  </si>
  <si>
    <t>W16</t>
  </si>
  <si>
    <t>W17</t>
  </si>
  <si>
    <t>W18</t>
  </si>
  <si>
    <t>W19</t>
  </si>
  <si>
    <t>W20</t>
  </si>
  <si>
    <t>W21</t>
  </si>
  <si>
    <t>W22</t>
  </si>
  <si>
    <t>W23</t>
  </si>
  <si>
    <t>W24</t>
  </si>
  <si>
    <t>W25</t>
  </si>
  <si>
    <t>W26</t>
  </si>
  <si>
    <t>M1</t>
  </si>
  <si>
    <t>Phase 1</t>
  </si>
  <si>
    <t>Sprint 1</t>
  </si>
  <si>
    <t>Deepak</t>
  </si>
  <si>
    <t>Milestone</t>
  </si>
  <si>
    <t>◆</t>
  </si>
  <si>
    <t>M2</t>
  </si>
  <si>
    <t>Sprint 2</t>
  </si>
  <si>
    <t>M3</t>
  </si>
  <si>
    <t>Sprint 3</t>
  </si>
  <si>
    <t>M4</t>
  </si>
  <si>
    <t>M5</t>
  </si>
  <si>
    <t>Phase 2</t>
  </si>
  <si>
    <t>Sprint 4</t>
  </si>
  <si>
    <t>M6</t>
  </si>
  <si>
    <t>Sprint 5</t>
  </si>
  <si>
    <t>M7</t>
  </si>
  <si>
    <t>Sprint 6</t>
  </si>
  <si>
    <t xml:space="preserve">   ▸  Edge EMS Runtime — Spykebox TC6 Setup</t>
  </si>
  <si>
    <t>1.1</t>
  </si>
  <si>
    <t>P1 · S1</t>
  </si>
  <si>
    <t>Edge Device</t>
  </si>
  <si>
    <t>Dev1</t>
  </si>
  <si>
    <t>Planned</t>
  </si>
  <si>
    <t>1.2</t>
  </si>
  <si>
    <t>Dev2</t>
  </si>
  <si>
    <t>1.3</t>
  </si>
  <si>
    <t>1.4</t>
  </si>
  <si>
    <t>1.5</t>
  </si>
  <si>
    <t>1.6</t>
  </si>
  <si>
    <t>4G LTE modem USB dongle — failover WAN path configured</t>
  </si>
  <si>
    <t>1.7</t>
  </si>
  <si>
    <t xml:space="preserve">   ▸  Protocol Drivers</t>
  </si>
  <si>
    <t>1.8</t>
  </si>
  <si>
    <t>Drivers</t>
  </si>
  <si>
    <t>In Progress</t>
  </si>
  <si>
    <t>1.9</t>
  </si>
  <si>
    <t>1.10</t>
  </si>
  <si>
    <t>1.11</t>
  </si>
  <si>
    <t xml:space="preserve">   ▸  Cloud Infrastructure — Cyso Cloud NL</t>
  </si>
  <si>
    <t>1.12</t>
  </si>
  <si>
    <t>Cloud Infra</t>
  </si>
  <si>
    <t>1.13</t>
  </si>
  <si>
    <t>1.14</t>
  </si>
  <si>
    <t>1.15</t>
  </si>
  <si>
    <t>1.16</t>
  </si>
  <si>
    <t>1.17</t>
  </si>
  <si>
    <t>Dev3</t>
  </si>
  <si>
    <t>1.18</t>
  </si>
  <si>
    <t>1.19</t>
  </si>
  <si>
    <t xml:space="preserve">   ▸  ✓  Acceptance: Pilot site running stable</t>
  </si>
  <si>
    <t>✓1</t>
  </si>
  <si>
    <t xml:space="preserve">   ▸  Market Data &amp; Price Integration</t>
  </si>
  <si>
    <t>2.1</t>
  </si>
  <si>
    <t>P1 · S2</t>
  </si>
  <si>
    <t>Market Data</t>
  </si>
  <si>
    <t>2.2</t>
  </si>
  <si>
    <t>2.3</t>
  </si>
  <si>
    <t>2.4</t>
  </si>
  <si>
    <t xml:space="preserve">   ▸  Optimization Controllers</t>
  </si>
  <si>
    <t>Optimization</t>
  </si>
  <si>
    <t>UI — Rules Engine</t>
  </si>
  <si>
    <t>2.10</t>
  </si>
  <si>
    <t xml:space="preserve">   ▸  ✓  Acceptance: AI optimization live on pilot</t>
  </si>
  <si>
    <t>✓2</t>
  </si>
  <si>
    <t xml:space="preserve">   ▸  Fleet Management Dashboard</t>
  </si>
  <si>
    <t>3.1</t>
  </si>
  <si>
    <t>P1 · S3</t>
  </si>
  <si>
    <t>3.2</t>
  </si>
  <si>
    <t>3.3</t>
  </si>
  <si>
    <t>3.4</t>
  </si>
  <si>
    <t>3.5</t>
  </si>
  <si>
    <t>3.6</t>
  </si>
  <si>
    <t xml:space="preserve">   ▸  Compliance Logging &amp; Energiewet</t>
  </si>
  <si>
    <t>3.7</t>
  </si>
  <si>
    <t>Compliance</t>
  </si>
  <si>
    <t>3.8</t>
  </si>
  <si>
    <t>3.9</t>
  </si>
  <si>
    <t>3.10</t>
  </si>
  <si>
    <t xml:space="preserve">   ▸  SLA Monitoring, Testing &amp; Hardening</t>
  </si>
  <si>
    <t>DevOps</t>
  </si>
  <si>
    <t>SLA monitoring — Cyso LBaaS health checks, Grafana uptime dashboards</t>
  </si>
  <si>
    <t>Alerting — P1/P2/P3 incident response via webhook / email</t>
  </si>
  <si>
    <t>Testing</t>
  </si>
  <si>
    <t>Hardware-in-the-loop tests — Spykebox + real Modbus devices</t>
  </si>
  <si>
    <t>Docs</t>
  </si>
  <si>
    <t>Documentation &amp; handover pack — SOW checklist, site configs, test results</t>
  </si>
  <si>
    <t>Production deployment &amp; hardening — TLS, RBAC, image signing, OTA verified</t>
  </si>
  <si>
    <t xml:space="preserve">   ▸  ✓  Acceptance: Production-ready, 3 sites live</t>
  </si>
  <si>
    <t>✓3</t>
  </si>
  <si>
    <t xml:space="preserve">   ▸  End-User Mobile App (React Native)</t>
  </si>
  <si>
    <t>4.1</t>
  </si>
  <si>
    <t>P2 · S4</t>
  </si>
  <si>
    <t>Mobile App</t>
  </si>
  <si>
    <t>App shell — React Native, Keycloak SSO auth flow, push notification setup</t>
  </si>
  <si>
    <t>4.2</t>
  </si>
  <si>
    <t>4.3</t>
  </si>
  <si>
    <t>4.4</t>
  </si>
  <si>
    <t>4.5</t>
  </si>
  <si>
    <t>4.6</t>
  </si>
  <si>
    <t xml:space="preserve">   ▸  HubSpot CRM — Bidirectional Sync</t>
  </si>
  <si>
    <t>4.7</t>
  </si>
  <si>
    <t>HubSpot CRM</t>
  </si>
  <si>
    <t>HubSpot OAuth2 connection — OrbitEOS ↔ HubSpot API setup</t>
  </si>
  <si>
    <t>4.8</t>
  </si>
  <si>
    <t>Bidirectional user sync — contacts push/pull (name, email, role)</t>
  </si>
  <si>
    <t>4.9</t>
  </si>
  <si>
    <t>Bidirectional company sync — accounts ↔ HubSpot companies + site metadata</t>
  </si>
  <si>
    <t>4.10</t>
  </si>
  <si>
    <t>Event webhook — OrbitEOS site events → HubSpot deal/activity log</t>
  </si>
  <si>
    <t xml:space="preserve">   ▸  ✓  Acceptance: End-user app live · Real-time energy visibility</t>
  </si>
  <si>
    <t>✓4</t>
  </si>
  <si>
    <t>Mobile app live on App Store + Play Store — CRM pipeline synced</t>
  </si>
  <si>
    <t xml:space="preserve">   ▸  Particle.io Cloud Integration</t>
  </si>
  <si>
    <t>5.1</t>
  </si>
  <si>
    <t>P2 · S5</t>
  </si>
  <si>
    <t>Particle.io</t>
  </si>
  <si>
    <t>5.2</t>
  </si>
  <si>
    <t>Windmill asset driver — Particle.io → Modbus TCP adapter</t>
  </si>
  <si>
    <t>5.3</t>
  </si>
  <si>
    <t>Multi-protocol adapter — Particle REST+SSE → OrbitEOS entity state</t>
  </si>
  <si>
    <t>5.4</t>
  </si>
  <si>
    <t>IoT device fleet management UI — device list, telemetry, OTA status</t>
  </si>
  <si>
    <t>5.5</t>
  </si>
  <si>
    <t>Intraday EPEX 15-min advanced tariff arbitrage (extension of Sprint 2)</t>
  </si>
  <si>
    <t xml:space="preserve">   ▸  ✓  Acceptance: Particle.io live · Windmill telemetry connected</t>
  </si>
  <si>
    <t>✓5</t>
  </si>
  <si>
    <t>Particle.io live — Windmill asset telemetry connected, OTA working</t>
  </si>
  <si>
    <t xml:space="preserve">   ▸  Unified SSO — Sitasys + NXGEN Identity Federation</t>
  </si>
  <si>
    <t>6.1</t>
  </si>
  <si>
    <t>P2 · S6</t>
  </si>
  <si>
    <t>Unified SSO</t>
  </si>
  <si>
    <t>Keycloak broker federation — Sitasys IdP + NXGEN IdP linked via OIDC</t>
  </si>
  <si>
    <t>6.2</t>
  </si>
  <si>
    <t>Sitasys Evalink integration — alarm workflow + OrbitEOS energy event correlation</t>
  </si>
  <si>
    <t>6.3</t>
  </si>
  <si>
    <t>NXGEN.io cloud — video AI events + OrbitEOS event correlation</t>
  </si>
  <si>
    <t>6.4</t>
  </si>
  <si>
    <t>Single login — Ecoways · Sitasys · NXGEN portals via federated token</t>
  </si>
  <si>
    <t>6.5</t>
  </si>
  <si>
    <t>SLA &amp; audit reporting — cross-platform audit trail across all connected systems</t>
  </si>
  <si>
    <t xml:space="preserve">   ▸  Live Video Streaming — Edge Camera Relay via Spykebox</t>
  </si>
  <si>
    <t>6.6</t>
  </si>
  <si>
    <t>Video Streaming</t>
  </si>
  <si>
    <t>6.7</t>
  </si>
  <si>
    <t>Live stream relay — Spykebox → REST API → OrbitEOS TypeScript adapter</t>
  </si>
  <si>
    <t>6.8</t>
  </si>
  <si>
    <t>Video stream UI — live view in energy dashboard, camera selector</t>
  </si>
  <si>
    <t>6.9</t>
  </si>
  <si>
    <t>Alert correlation — NXGEN.io video AI event → OrbitEOS alarm trigger</t>
  </si>
  <si>
    <t xml:space="preserve">   ▸  ✓  Acceptance: Unified SSO live · Cross-platform login active</t>
  </si>
  <si>
    <t>✓6</t>
  </si>
  <si>
    <t>Unified SSO live — Sitasys + NXGEN + Ecoways single login · Video stream live</t>
  </si>
  <si>
    <t xml:space="preserve">  DEVOPS &amp; INFRASTRUCTURE  —  Continuous across all phases</t>
  </si>
  <si>
    <t xml:space="preserve">   ▸  CI/CD &amp; Deployment Pipeline</t>
  </si>
  <si>
    <t>D.1</t>
  </si>
  <si>
    <t>CI/CD</t>
  </si>
  <si>
    <t>GitHub Actions — build, test, lint on every PR</t>
  </si>
  <si>
    <t>D.2</t>
  </si>
  <si>
    <t>Docker image build + push to Cyso Object Storage registry</t>
  </si>
  <si>
    <t>D.3</t>
  </si>
  <si>
    <t>Staging environment — Cyso s5.medium, mirrors production</t>
  </si>
  <si>
    <t>D.4</t>
  </si>
  <si>
    <t>Blue-green OTA deployment to Spykebox edge fleet</t>
  </si>
  <si>
    <t>D.5</t>
  </si>
  <si>
    <t>Monitoring</t>
  </si>
  <si>
    <t>Grafana + Loki — log aggregation, uptime dashboards, alerting</t>
  </si>
  <si>
    <t>D.6</t>
  </si>
  <si>
    <t>Redis Sentinel HA — 2× s5.small (session cache + MQTT fanout)</t>
  </si>
  <si>
    <t>D.7</t>
  </si>
  <si>
    <t>Security</t>
  </si>
  <si>
    <t>TLS 1.3 + image signing — TPM-backed keys + Notary v2 verification</t>
  </si>
  <si>
    <t>D.8</t>
  </si>
  <si>
    <t>Vitest unit tests — backend routes, &gt;80% coverage target</t>
  </si>
  <si>
    <t>D.9</t>
  </si>
  <si>
    <t>Playwright E2E — critical user journeys: site create → device → dashboard</t>
  </si>
  <si>
    <t xml:space="preserve">  PHASE 1 — SPRINT 1: FOUNDATION &amp; POC  |  Week 1–4</t>
  </si>
  <si>
    <t xml:space="preserve">  PHASE 1 — SPRINT 2: INTEGRATION &amp; PILOT  |  Week 5–8</t>
  </si>
  <si>
    <t xml:space="preserve">  PHASE 1 — SPRINT 3: PRODUCTION &amp; ROLL OUT  |  Week 9–12</t>
  </si>
  <si>
    <t xml:space="preserve">  PHASE 2 — SPRINT 4: MOBILE APP &amp; CRM  |  Week 13–16</t>
  </si>
  <si>
    <t xml:space="preserve">  PHASE 2 — SPRINT 5: PARTICLE.IO INTEGRATION  |  Week 17–20</t>
  </si>
  <si>
    <t xml:space="preserve">  PHASE 2 — SPRINT 6: UNIFIED SSO &amp; LIVE STREAM  |  Week 21–26</t>
  </si>
  <si>
    <t>Phase</t>
  </si>
  <si>
    <t>Sprint</t>
  </si>
  <si>
    <t>Milestone / Acceptance Gate</t>
  </si>
  <si>
    <t>Target Week</t>
  </si>
  <si>
    <t>Completion Date</t>
  </si>
  <si>
    <t>Notes</t>
  </si>
  <si>
    <t xml:space="preserve">  PROGRESS SUMMARY</t>
  </si>
  <si>
    <t>Total Milestones</t>
  </si>
  <si>
    <t>Completed</t>
  </si>
  <si>
    <t>Remaining</t>
  </si>
  <si>
    <t>% Done</t>
  </si>
  <si>
    <t>Team</t>
  </si>
  <si>
    <t>Pilot site live — energy management system operational on first customer site</t>
  </si>
  <si>
    <t>Energy optimization active — day-ahead tariff scheduling and peak shaving verified on pilot</t>
  </si>
  <si>
    <t>Production rollout complete — 3 sites live with compliance logging and SLA monitoring</t>
  </si>
  <si>
    <t>Phase 1 acceptance sign-off — all contractual deliverables verified per acceptance protocol</t>
  </si>
  <si>
    <t>Phase 2 kickoff — end-user mobile app (iOS + Android) alpha released</t>
  </si>
  <si>
    <t>IoT device integration live — Particle.io cloud + windmill telemetry connected</t>
  </si>
  <si>
    <t>Unified single sign-on live — Sitasys, NXGEN and Ecoways portals accessible via one login</t>
  </si>
  <si>
    <t>API</t>
  </si>
  <si>
    <t>Branding</t>
  </si>
  <si>
    <t>Phase 1 acceptance test — all contractual deliverables verified, sign-off test protocol per §7 acceptance terms</t>
  </si>
  <si>
    <t>Edge runtime setup — Debian RT Linux + Docker Engine provisioned on Spykebox TC6 gateway</t>
  </si>
  <si>
    <t>Network segmentation — VLAN isolation for OCPP chargers, Modbus TCP devices and WAN/Cloud uplink</t>
  </si>
  <si>
    <t>Edge container stack — 6 Docker services deployed via docker-compose on gateway</t>
  </si>
  <si>
    <t>EMS runtime container — energy management core service running in production mode</t>
  </si>
  <si>
    <t>Watchdog service — health monitoring, OTA update agent and automatic rollback on failure</t>
  </si>
  <si>
    <t>Local control loop — sub-100ms response time verified, offline-first autonomous operation</t>
  </si>
  <si>
    <t>Modbus TCP/RTU driver — SunSpec baseline for inverter, meter and battery assets</t>
  </si>
  <si>
    <t>OCPP 1.6J EV charger gateway — compatible with KEBA, ABL and Hardy Barth chargers</t>
  </si>
  <si>
    <t>DSMR 5.0 smart meter driver — P1 serial port telemetry integration</t>
  </si>
  <si>
    <t>Self-consumption controller — real-time symmetric balancing of PV generation vs site load</t>
  </si>
  <si>
    <t>Cloud infrastructure — API and backend servers provisioned on Cyso Cloud Amsterdam</t>
  </si>
  <si>
    <t>Time-series database — TimescaleDB provisioned with 150GB storage for telemetry data</t>
  </si>
  <si>
    <t>MQTT broker + secure tunnels — VerneMQ message broker with Cloudflare Zero Trust endpoints</t>
  </si>
  <si>
    <t>Identity provider — Keycloak SSO configured with dedicated Ecoways tenant realm</t>
  </si>
  <si>
    <t>CI/CD pipeline — GitHub Actions workflow with self-hosted build runner</t>
  </si>
  <si>
    <t>OrbitEMS Web Portal — basic monitoring view with live energy flow and device status</t>
  </si>
  <si>
    <t>OrbitEMS Web Portal · Device list — online/warning/offline status indicators per asset</t>
  </si>
  <si>
    <t>OrbitEMS Web Portal · Site overview — real-time PV yield, battery SoC, grid import/export</t>
  </si>
  <si>
    <t>EPEX SPOT price feed — 15-min day-ahead import with validation and fallback logic</t>
  </si>
  <si>
    <t>Day-ahead tariff optimizer — battery charge/discharge schedule based on price signals</t>
  </si>
  <si>
    <t>Weather forecast integration — Open-Meteo irradiance API for PV production prediction</t>
  </si>
  <si>
    <t>DSO signal integration — ENTSO-E / IEC 60870-5-104 congestion management interface</t>
  </si>
  <si>
    <t>Peak shaving controller — symmetric/asymmetric/timeslot modes for demand charge reduction</t>
  </si>
  <si>
    <t>PV + load forecasting — LSTM neural network predictor with dropout regularisation</t>
  </si>
  <si>
    <t>Energy scheduler v2 — evolutionary optimisation engine with 15-min rolling periods</t>
  </si>
  <si>
    <t>PV curtailment controller — automatic export reduction during negative price events</t>
  </si>
  <si>
    <t>OrbitEMS Web Portal · Rules engine — 6 configurable strategies with schedule, trigger and action</t>
  </si>
  <si>
    <t>OrbitEMS Web Portal · Tariff arbitrage — day-ahead price view, charge schedule and cost forecast</t>
  </si>
  <si>
    <t>OrbitEMS Web Portal · Peak shaving — live demand vs limit monitor with 15-min interval chart</t>
  </si>
  <si>
    <t>OrbitEMS Web Portal · Grid congestion — event log, load shedding history and DSO signal status</t>
  </si>
  <si>
    <t>OrbitEMS Web Portal · Fleet dashboard — multi-site map view, KPI rollup and status grid</t>
  </si>
  <si>
    <t>OrbitEMS Web Portal · Site detail view — 24h energy history, PV yield, self-consumption %</t>
  </si>
  <si>
    <t>OrbitEMS Web Portal · Fleet KPIs — aggregated PV yield, storage SoC, CO₂ savings and cost delta</t>
  </si>
  <si>
    <t>Production rollout — 2–3 additional sites commissioned and onboarded to OrbitEMS platform</t>
  </si>
  <si>
    <t>OrbitEMS Web Portal · Battery management — SoC, SoH, charge/discharge limits and degradation tracking</t>
  </si>
  <si>
    <t>OrbitEMS Web Portal · EV charging — OCPP charger status, smart charge schedule and session history</t>
  </si>
  <si>
    <t>OrbitEMS Web Portal · Compliance log — Energiewet regulatory mapping and congestion event history</t>
  </si>
  <si>
    <t>Regulator export — grid operator format data export with per-asset CSV and API endpoints</t>
  </si>
  <si>
    <t>Audit trail — all user actions logged with filterable audit log and retention policy</t>
  </si>
  <si>
    <t>KPI aggregation engine — cost (€), CO₂ (kg), self-consumption (%) and peak demand (kW) metrics</t>
  </si>
  <si>
    <t>REST API for Ecoways — external API documentation, API key management and integration access</t>
  </si>
  <si>
    <t>White-label configuration — Ecoways branding (logo, colours, custom domain) with tenant isolation</t>
  </si>
  <si>
    <t>OrbitEMS Mobile App — React Native shell with SSO authentication and push notifications</t>
  </si>
  <si>
    <t>OrbitEMS Mobile App · Energy dashboard — real-time solar, battery, EV and grid flow view</t>
  </si>
  <si>
    <t>OrbitEMS Mobile App · Reports — monthly savings and self-consumption summary for end-users</t>
  </si>
  <si>
    <t>OrbitEMS Mobile App · Alerts — push notifications for price spikes, congestion and SLA events</t>
  </si>
  <si>
    <t>OrbitEMS Mobile App · Site selector — multi-site list with status indicators and quick switch</t>
  </si>
  <si>
    <t>OrbitEMS Web Portal · IoT fleet — device list, live telemetry and OTA update status</t>
  </si>
  <si>
    <t>OrbitEMS Web Portal · Live video — camera selector with live stream embedded in dashboard</t>
  </si>
  <si>
    <t>Deployment</t>
  </si>
  <si>
    <t xml:space="preserve">   ▸  Backend API &amp; Data Layer</t>
  </si>
  <si>
    <t>Backend API</t>
  </si>
  <si>
    <t>Optimization API layer — REST endpoints connecting scheduler, peak shaving and curtailment to Web Portal</t>
  </si>
  <si>
    <t>Integration Test</t>
  </si>
  <si>
    <t>End-to-end integration test — EPEX SPOT → scheduler → battery command → dashboard confirmation</t>
  </si>
  <si>
    <t xml:space="preserve">   ▸  Platform Backend — Schema &amp; API Scaffold</t>
  </si>
  <si>
    <t>Backend</t>
  </si>
  <si>
    <t>Database schema design — TimescaleDB hypertables, asset registry, telemetry and event models</t>
  </si>
  <si>
    <t>MQTT topic structure — message contracts for telemetry, commands and device state</t>
  </si>
  <si>
    <t>Backend API scaffold — REST framework, auth middleware, tenant routing and OpenAPI spec</t>
  </si>
  <si>
    <t>Web Portal</t>
  </si>
  <si>
    <t xml:space="preserve">   ▸  OrbitEMS Web Portal — Basic Monitoring (Sprint 1 deliverable)</t>
  </si>
  <si>
    <t xml:space="preserve">   ▸  OrbitEMS Web Portal — Rules Engine &amp; Monitoring</t>
  </si>
  <si>
    <t>1.20</t>
  </si>
  <si>
    <t xml:space="preserve"> Milestone Tracker </t>
  </si>
  <si>
    <t>Sprint 3 acceptance — demo + written acceptance report, 3 sites live, compliance and SLA verified</t>
  </si>
  <si>
    <t>Sprint 2 acceptance — demo + written acceptance report, EPEX SPOT tariff scheduling + peak shaving verified</t>
  </si>
  <si>
    <t>Sprint 1 acceptance — demo + written acceptance report, pilot site live, edge EMS and dashboard verified</t>
  </si>
  <si>
    <t>Master Project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</si>
</sst>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48" x14ac:knownFonts="1">
    <font>
      <sz val="11"/>
      <color theme="1"/>
      <name val="Calibri"/>
      <family val="2"/>
      <charset val="1"/>
    </font>
    <font>
      <b/>
      <sz val="14"/>
      <color rgb="FFFFFFFF"/>
      <name val="Calibri"/>
      <charset val="1"/>
    </font>
    <font>
      <b/>
      <sz val="7"/>
      <color rgb="FFFFFFFF"/>
      <name val="Calibri"/>
      <charset val="1"/>
    </font>
    <font>
      <b/>
      <sz val="8"/>
      <color rgb="FFFFFFFF"/>
      <name val="Calibri"/>
      <charset val="1"/>
    </font>
    <font>
      <b/>
      <sz val="10"/>
      <color rgb="FFFFFFFF"/>
      <name val="Calibri"/>
      <charset val="1"/>
    </font>
    <font>
      <sz val="8"/>
      <color rgb="FF64748B"/>
      <name val="Calibri"/>
      <charset val="1"/>
    </font>
    <font>
      <b/>
      <sz val="8"/>
      <color rgb="FF1E293B"/>
      <name val="Calibri"/>
      <charset val="1"/>
    </font>
    <font>
      <i/>
      <sz val="8"/>
      <color rgb="FF374151"/>
      <name val="Calibri"/>
      <charset val="1"/>
    </font>
    <font>
      <b/>
      <sz val="9"/>
      <color rgb="FF0B1120"/>
      <name val="Calibri"/>
      <charset val="1"/>
    </font>
    <font>
      <i/>
      <sz val="8"/>
      <color rgb="FF64748B"/>
      <name val="Calibri"/>
      <charset val="1"/>
    </font>
    <font>
      <b/>
      <sz val="9"/>
      <color rgb="FFFFFFFF"/>
      <name val="Calibri"/>
      <charset val="1"/>
    </font>
    <font>
      <sz val="9"/>
      <color rgb="FF0B1120"/>
      <name val="Calibri"/>
      <charset val="1"/>
    </font>
    <font>
      <b/>
      <sz val="8"/>
      <color rgb="FF64748B"/>
      <name val="Calibri"/>
      <charset val="1"/>
    </font>
    <font>
      <b/>
      <sz val="8"/>
      <color rgb="FF1976D2"/>
      <name val="Calibri"/>
      <charset val="1"/>
    </font>
    <font>
      <b/>
      <sz val="14"/>
      <color rgb="FFFFFFFF"/>
      <name val="Calibri"/>
    </font>
    <font>
      <b/>
      <sz val="8"/>
      <color rgb="FFFFFFFF"/>
      <name val="Calibri"/>
    </font>
    <font>
      <sz val="9"/>
      <color rgb="FF64748B"/>
      <name val="Calibri"/>
    </font>
    <font>
      <b/>
      <sz val="9"/>
      <color rgb="FF1E293B"/>
      <name val="Calibri"/>
    </font>
    <font>
      <sz val="9"/>
      <color rgb="FF374151"/>
      <name val="Calibri"/>
    </font>
    <font>
      <i/>
      <sz val="9"/>
      <color rgb="FF374151"/>
      <name val="Calibri"/>
    </font>
    <font>
      <b/>
      <sz val="10"/>
      <color rgb="FF0B1120"/>
      <name val="Calibri"/>
    </font>
    <font>
      <b/>
      <sz val="9"/>
      <color rgb="FF0D9488"/>
      <name val="Calibri"/>
    </font>
    <font>
      <b/>
      <sz val="9"/>
      <color rgb="FFC2410C"/>
      <name val="Calibri"/>
    </font>
    <font>
      <b/>
      <sz val="9"/>
      <color rgb="FF1976D2"/>
      <name val="Calibri"/>
    </font>
    <font>
      <b/>
      <sz val="9"/>
      <color rgb="FFD97706"/>
      <name val="Calibri"/>
    </font>
    <font>
      <b/>
      <sz val="9"/>
      <color rgb="FF7C3AED"/>
      <name val="Calibri"/>
    </font>
    <font>
      <b/>
      <sz val="9"/>
      <color rgb="FF0E7490"/>
      <name val="Calibri"/>
    </font>
    <font>
      <b/>
      <sz val="9"/>
      <color rgb="FF312E81"/>
      <name val="Calibri"/>
    </font>
    <font>
      <b/>
      <sz val="10"/>
      <color rgb="FFFFFFFF"/>
      <name val="Calibri"/>
    </font>
    <font>
      <b/>
      <sz val="12"/>
      <color rgb="FF0B1120"/>
      <name val="Calibri"/>
    </font>
    <font>
      <b/>
      <sz val="9"/>
      <color rgb="FF15803D"/>
      <name val="Calibri"/>
    </font>
    <font>
      <b/>
      <sz val="12"/>
      <color rgb="FF15803D"/>
      <name val="Calibri"/>
    </font>
    <font>
      <b/>
      <sz val="9"/>
      <color rgb="FFB45309"/>
      <name val="Calibri"/>
    </font>
    <font>
      <b/>
      <sz val="12"/>
      <color rgb="FFB45309"/>
      <name val="Calibri"/>
    </font>
    <font>
      <b/>
      <sz val="9"/>
      <color rgb="FF64748B"/>
      <name val="Calibri"/>
    </font>
    <font>
      <b/>
      <sz val="12"/>
      <color rgb="FF64748B"/>
      <name val="Calibri"/>
    </font>
    <font>
      <sz val="8"/>
      <color rgb="FF64748B"/>
      <name val="Calibri"/>
    </font>
    <font>
      <i/>
      <sz val="8"/>
      <color rgb="FF64748B"/>
      <name val="Calibri"/>
    </font>
    <font>
      <b/>
      <sz val="8"/>
      <color rgb="FF374151"/>
      <name val="Calibri"/>
      <charset val="1"/>
    </font>
    <font>
      <b/>
      <sz val="8"/>
      <color rgb="FF1E293B"/>
      <name val="Calibri"/>
    </font>
    <font>
      <i/>
      <sz val="8"/>
      <color rgb="FF374151"/>
      <name val="Calibri"/>
    </font>
    <font>
      <sz val="9"/>
      <color rgb="FF0B1120"/>
      <name val="Calibri"/>
    </font>
    <font>
      <b/>
      <sz val="8"/>
      <color rgb="FF64748B"/>
      <name val="Calibri"/>
    </font>
    <font>
      <b/>
      <sz val="8"/>
      <color rgb="FF374151"/>
      <name val="Calibri"/>
    </font>
    <font>
      <b/>
      <i/>
      <sz val="8"/>
      <color rgb="FF374151"/>
      <name val="Calibri"/>
    </font>
    <font>
      <b/>
      <sz val="9"/>
      <color rgb="FF0B1120"/>
      <name val="Calibri"/>
    </font>
    <font>
      <b/>
      <i/>
      <sz val="8"/>
      <color rgb="FF64748B"/>
      <name val="Calibri"/>
    </font>
    <font>
      <b/>
      <sz val="9"/>
      <color rgb="FFFFFFFF"/>
      <name val="Calibri"/>
    </font>
  </fonts>
  <fills count="42">
    <fill>
      <patternFill patternType="none"/>
    </fill>
    <fill>
      <patternFill patternType="gray125"/>
    </fill>
    <fill>
      <patternFill patternType="solid">
        <fgColor rgb="FF0B1120"/>
        <bgColor rgb="FF000000"/>
      </patternFill>
    </fill>
    <fill>
      <patternFill patternType="solid">
        <fgColor rgb="FF1E293B"/>
        <bgColor rgb="FF0B1120"/>
      </patternFill>
    </fill>
    <fill>
      <patternFill patternType="solid">
        <fgColor rgb="FF0D9488"/>
        <bgColor rgb="FF339966"/>
      </patternFill>
    </fill>
    <fill>
      <patternFill patternType="solid">
        <fgColor rgb="FF1976D2"/>
        <bgColor rgb="FF0E7490"/>
      </patternFill>
    </fill>
    <fill>
      <patternFill patternType="solid">
        <fgColor rgb="FFD97706"/>
        <bgColor rgb="FFFF9900"/>
      </patternFill>
    </fill>
    <fill>
      <patternFill patternType="solid">
        <fgColor rgb="FF7C3AED"/>
        <bgColor rgb="FF993366"/>
      </patternFill>
    </fill>
    <fill>
      <patternFill patternType="solid">
        <fgColor rgb="FF0E7490"/>
        <bgColor rgb="FF1976D2"/>
      </patternFill>
    </fill>
    <fill>
      <patternFill patternType="solid">
        <fgColor rgb="FF312E81"/>
        <bgColor rgb="FF334155"/>
      </patternFill>
    </fill>
    <fill>
      <patternFill patternType="solid">
        <fgColor rgb="FFE0E7FF"/>
        <bgColor rgb="FFE2E8F0"/>
      </patternFill>
    </fill>
    <fill>
      <patternFill patternType="solid">
        <fgColor rgb="FFFFFFFF"/>
        <bgColor rgb="FFF8FAFC"/>
      </patternFill>
    </fill>
    <fill>
      <patternFill patternType="solid">
        <fgColor rgb="FFF1F5F9"/>
        <bgColor rgb="FFF0F4FF"/>
      </patternFill>
    </fill>
    <fill>
      <patternFill patternType="solid">
        <fgColor rgb="FFF8FAFC"/>
        <bgColor rgb="FFFFFFFF"/>
      </patternFill>
    </fill>
    <fill>
      <patternFill patternType="solid">
        <fgColor rgb="FFF0F4FF"/>
        <bgColor rgb="FFF1F5F9"/>
      </patternFill>
    </fill>
    <fill>
      <patternFill patternType="solid">
        <fgColor rgb="FFE0F2F1"/>
        <bgColor rgb="FFE3F2FD"/>
      </patternFill>
    </fill>
    <fill>
      <patternFill patternType="solid">
        <fgColor rgb="FFE3F2FD"/>
        <bgColor rgb="FFE0F2F1"/>
      </patternFill>
    </fill>
    <fill>
      <patternFill patternType="solid">
        <fgColor rgb="FF15803D"/>
        <bgColor rgb="FF339966"/>
      </patternFill>
    </fill>
    <fill>
      <patternFill patternType="solid">
        <fgColor rgb="FFDCFCE7"/>
        <bgColor rgb="FFE0F2F1"/>
      </patternFill>
    </fill>
    <fill>
      <patternFill patternType="solid">
        <fgColor rgb="FFFEF3C7"/>
        <bgColor rgb="FFFFEDD5"/>
      </patternFill>
    </fill>
    <fill>
      <patternFill patternType="solid">
        <fgColor rgb="FFF3E5F5"/>
        <bgColor rgb="FFE5E7EB"/>
      </patternFill>
    </fill>
    <fill>
      <patternFill patternType="solid">
        <fgColor rgb="FFCFFAFE"/>
        <bgColor rgb="FFDCFCE7"/>
      </patternFill>
    </fill>
    <fill>
      <patternFill patternType="solid">
        <fgColor rgb="FF0B1120"/>
        <bgColor indexed="64"/>
      </patternFill>
    </fill>
    <fill>
      <patternFill patternType="solid">
        <fgColor rgb="FF1E293B"/>
        <bgColor indexed="64"/>
      </patternFill>
    </fill>
    <fill>
      <patternFill patternType="solid">
        <fgColor rgb="FFE0E7FF"/>
        <bgColor indexed="64"/>
      </patternFill>
    </fill>
    <fill>
      <patternFill patternType="solid">
        <fgColor rgb="FFFFFFFF"/>
        <bgColor indexed="64"/>
      </patternFill>
    </fill>
    <fill>
      <patternFill patternType="solid">
        <fgColor rgb="FFF0FDFA"/>
        <bgColor indexed="64"/>
      </patternFill>
    </fill>
    <fill>
      <patternFill patternType="solid">
        <fgColor rgb="FFFFEDD5"/>
        <bgColor indexed="64"/>
      </patternFill>
    </fill>
    <fill>
      <patternFill patternType="solid">
        <fgColor rgb="FFF8FAFC"/>
        <bgColor indexed="64"/>
      </patternFill>
    </fill>
    <fill>
      <patternFill patternType="solid">
        <fgColor rgb="FFEFF6FF"/>
        <bgColor indexed="64"/>
      </patternFill>
    </fill>
    <fill>
      <patternFill patternType="solid">
        <fgColor rgb="FFFFFBEB"/>
        <bgColor indexed="64"/>
      </patternFill>
    </fill>
    <fill>
      <patternFill patternType="solid">
        <fgColor rgb="FFFFF7ED"/>
        <bgColor indexed="64"/>
      </patternFill>
    </fill>
    <fill>
      <patternFill patternType="solid">
        <fgColor rgb="FFF5F3FF"/>
        <bgColor indexed="64"/>
      </patternFill>
    </fill>
    <fill>
      <patternFill patternType="solid">
        <fgColor rgb="FFECFEFF"/>
        <bgColor indexed="64"/>
      </patternFill>
    </fill>
    <fill>
      <patternFill patternType="solid">
        <fgColor rgb="FFEEF2FF"/>
        <bgColor indexed="64"/>
      </patternFill>
    </fill>
    <fill>
      <patternFill patternType="solid">
        <fgColor rgb="FFF1F5F9"/>
        <bgColor indexed="64"/>
      </patternFill>
    </fill>
    <fill>
      <patternFill patternType="solid">
        <fgColor rgb="FFF0FDF4"/>
        <bgColor indexed="64"/>
      </patternFill>
    </fill>
    <fill>
      <patternFill patternType="solid">
        <fgColor rgb="FFFEF3C7"/>
        <bgColor indexed="64"/>
      </patternFill>
    </fill>
    <fill>
      <patternFill patternType="solid">
        <fgColor rgb="FFE3F2FD"/>
        <bgColor indexed="64"/>
      </patternFill>
    </fill>
    <fill>
      <patternFill patternType="solid">
        <fgColor rgb="FFE0F2F1"/>
        <bgColor indexed="64"/>
      </patternFill>
    </fill>
    <fill>
      <patternFill patternType="solid">
        <fgColor rgb="FF1976D2"/>
        <bgColor indexed="64"/>
      </patternFill>
    </fill>
    <fill>
      <patternFill patternType="solid">
        <fgColor rgb="FF0D9488"/>
        <bgColor indexed="64"/>
      </patternFill>
    </fill>
  </fills>
  <borders count="41">
    <border>
      <left/>
      <right/>
      <top/>
      <bottom/>
      <diagonal/>
    </border>
    <border>
      <left style="thin">
        <color rgb="FF334155"/>
      </left>
      <right style="thin">
        <color rgb="FF334155"/>
      </right>
      <top style="thin">
        <color rgb="FF334155"/>
      </top>
      <bottom style="thin">
        <color rgb="FF334155"/>
      </bottom>
      <diagonal/>
    </border>
    <border>
      <left style="thin">
        <color rgb="FFFFFFFF"/>
      </left>
      <right/>
      <top style="thin">
        <color rgb="FFFFFFFF"/>
      </top>
      <bottom style="thin">
        <color rgb="FFFFFFFF"/>
      </bottom>
      <diagonal/>
    </border>
    <border>
      <left style="thin">
        <color rgb="FFE5E7EB"/>
      </left>
      <right style="thin">
        <color rgb="FFE5E7EB"/>
      </right>
      <top style="thin">
        <color rgb="FFE5E7EB"/>
      </top>
      <bottom style="thin">
        <color rgb="FFE5E7EB"/>
      </bottom>
      <diagonal/>
    </border>
    <border>
      <left style="thin">
        <color rgb="FFD1D5DB"/>
      </left>
      <right style="thin">
        <color rgb="FFD1D5DB"/>
      </right>
      <top style="thin">
        <color rgb="FFD1D5DB"/>
      </top>
      <bottom style="thin">
        <color rgb="FFD1D5DB"/>
      </bottom>
      <diagonal/>
    </border>
    <border>
      <left style="medium">
        <color rgb="FF0D9488"/>
      </left>
      <right style="thin">
        <color rgb="FFD1D5DB"/>
      </right>
      <top style="thin">
        <color rgb="FFD1D5DB"/>
      </top>
      <bottom style="thin">
        <color rgb="FFD1D5DB"/>
      </bottom>
      <diagonal/>
    </border>
    <border>
      <left style="thin">
        <color rgb="FFE2E8F0"/>
      </left>
      <right style="thin">
        <color rgb="FFE2E8F0"/>
      </right>
      <top style="thin">
        <color rgb="FFE2E8F0"/>
      </top>
      <bottom style="thin">
        <color rgb="FFE2E8F0"/>
      </bottom>
      <diagonal/>
    </border>
    <border>
      <left style="thin">
        <color rgb="FFFFFFFF"/>
      </left>
      <right style="thin">
        <color rgb="FFFFFFFF"/>
      </right>
      <top style="thin">
        <color rgb="FFFFFFFF"/>
      </top>
      <bottom style="thin">
        <color rgb="FFFFFFFF"/>
      </bottom>
      <diagonal/>
    </border>
    <border>
      <left style="medium">
        <color rgb="FF1976D2"/>
      </left>
      <right style="thin">
        <color rgb="FFD1D5DB"/>
      </right>
      <top style="thin">
        <color rgb="FFD1D5DB"/>
      </top>
      <bottom style="thin">
        <color rgb="FFD1D5DB"/>
      </bottom>
      <diagonal/>
    </border>
    <border>
      <left style="medium">
        <color rgb="FFD97706"/>
      </left>
      <right style="thin">
        <color rgb="FFD1D5DB"/>
      </right>
      <top style="thin">
        <color rgb="FFD1D5DB"/>
      </top>
      <bottom style="thin">
        <color rgb="FFD1D5DB"/>
      </bottom>
      <diagonal/>
    </border>
    <border>
      <left style="medium">
        <color rgb="FF7C3AED"/>
      </left>
      <right style="thin">
        <color rgb="FFD1D5DB"/>
      </right>
      <top style="thin">
        <color rgb="FFD1D5DB"/>
      </top>
      <bottom style="thin">
        <color rgb="FFD1D5DB"/>
      </bottom>
      <diagonal/>
    </border>
    <border>
      <left style="medium">
        <color rgb="FF0E7490"/>
      </left>
      <right style="thin">
        <color rgb="FFD1D5DB"/>
      </right>
      <top style="thin">
        <color rgb="FFD1D5DB"/>
      </top>
      <bottom style="thin">
        <color rgb="FFD1D5DB"/>
      </bottom>
      <diagonal/>
    </border>
    <border>
      <left style="medium">
        <color rgb="FF312E81"/>
      </left>
      <right style="thin">
        <color rgb="FFD1D5DB"/>
      </right>
      <top style="thin">
        <color rgb="FFD1D5DB"/>
      </top>
      <bottom style="thin">
        <color rgb="FFD1D5DB"/>
      </bottom>
      <diagonal/>
    </border>
    <border>
      <left style="medium">
        <color rgb="FF1E293B"/>
      </left>
      <right style="thin">
        <color rgb="FFD1D5DB"/>
      </right>
      <top style="thin">
        <color rgb="FFD1D5DB"/>
      </top>
      <bottom style="thin">
        <color rgb="FFD1D5DB"/>
      </bottom>
      <diagonal/>
    </border>
    <border>
      <left/>
      <right/>
      <top/>
      <bottom style="thin">
        <color rgb="FF334155"/>
      </bottom>
      <diagonal/>
    </border>
    <border>
      <left/>
      <right/>
      <top style="thin">
        <color rgb="FF334155"/>
      </top>
      <bottom/>
      <diagonal/>
    </border>
    <border>
      <left style="thin">
        <color rgb="FFD1D5DB"/>
      </left>
      <right/>
      <top style="thin">
        <color rgb="FFD1D5DB"/>
      </top>
      <bottom/>
      <diagonal/>
    </border>
    <border>
      <left style="thin">
        <color rgb="FFD1D5DB"/>
      </left>
      <right/>
      <top style="thin">
        <color rgb="FFD1D5DB"/>
      </top>
      <bottom style="thin">
        <color rgb="FFD1D5DB"/>
      </bottom>
      <diagonal/>
    </border>
    <border>
      <left style="medium">
        <color rgb="FF0D9488"/>
      </left>
      <right/>
      <top style="thin">
        <color rgb="FFD1D5DB"/>
      </top>
      <bottom/>
      <diagonal/>
    </border>
    <border>
      <left style="medium">
        <color rgb="FF0D9488"/>
      </left>
      <right/>
      <top style="thin">
        <color rgb="FFD1D5DB"/>
      </top>
      <bottom style="thin">
        <color rgb="FFD1D5DB"/>
      </bottom>
      <diagonal/>
    </border>
    <border>
      <left/>
      <right/>
      <top style="thin">
        <color rgb="FFD1D5DB"/>
      </top>
      <bottom/>
      <diagonal/>
    </border>
    <border>
      <left/>
      <right/>
      <top style="thin">
        <color rgb="FFD1D5DB"/>
      </top>
      <bottom style="thin">
        <color rgb="FFD1D5DB"/>
      </bottom>
      <diagonal/>
    </border>
    <border>
      <left style="medium">
        <color rgb="FF1976D2"/>
      </left>
      <right/>
      <top style="thin">
        <color rgb="FFD1D5DB"/>
      </top>
      <bottom/>
      <diagonal/>
    </border>
    <border>
      <left style="medium">
        <color rgb="FF1976D2"/>
      </left>
      <right/>
      <top style="thin">
        <color rgb="FFD1D5DB"/>
      </top>
      <bottom style="thin">
        <color rgb="FFD1D5DB"/>
      </bottom>
      <diagonal/>
    </border>
    <border>
      <left style="medium">
        <color rgb="FFD97706"/>
      </left>
      <right/>
      <top style="thin">
        <color rgb="FFD1D5DB"/>
      </top>
      <bottom/>
      <diagonal/>
    </border>
    <border>
      <left style="medium">
        <color rgb="FFD97706"/>
      </left>
      <right/>
      <top style="thin">
        <color rgb="FFD1D5DB"/>
      </top>
      <bottom style="thin">
        <color rgb="FFD1D5DB"/>
      </bottom>
      <diagonal/>
    </border>
    <border>
      <left style="medium">
        <color rgb="FFC2410C"/>
      </left>
      <right/>
      <top style="thin">
        <color rgb="FFD1D5DB"/>
      </top>
      <bottom/>
      <diagonal/>
    </border>
    <border>
      <left style="medium">
        <color rgb="FF7C3AED"/>
      </left>
      <right/>
      <top style="thin">
        <color rgb="FFD1D5DB"/>
      </top>
      <bottom/>
      <diagonal/>
    </border>
    <border>
      <left style="medium">
        <color rgb="FF0E7490"/>
      </left>
      <right/>
      <top style="thin">
        <color rgb="FFD1D5DB"/>
      </top>
      <bottom/>
      <diagonal/>
    </border>
    <border>
      <left style="medium">
        <color rgb="FF312E81"/>
      </left>
      <right/>
      <top style="thin">
        <color rgb="FFD1D5DB"/>
      </top>
      <bottom style="thin">
        <color rgb="FFD1D5DB"/>
      </bottom>
      <diagonal/>
    </border>
    <border>
      <left style="thin">
        <color rgb="FF334155"/>
      </left>
      <right/>
      <top style="thin">
        <color rgb="FF334155"/>
      </top>
      <bottom style="thin">
        <color rgb="FF334155"/>
      </bottom>
      <diagonal/>
    </border>
    <border>
      <left/>
      <right style="thin">
        <color rgb="FF334155"/>
      </right>
      <top style="thin">
        <color rgb="FF334155"/>
      </top>
      <bottom style="thin">
        <color rgb="FF334155"/>
      </bottom>
      <diagonal/>
    </border>
    <border>
      <left style="thin">
        <color rgb="FFFFFFFF"/>
      </left>
      <right/>
      <top/>
      <bottom style="thin">
        <color rgb="FFFFFFFF"/>
      </bottom>
      <diagonal/>
    </border>
    <border>
      <left style="thin">
        <color rgb="FFD1D5DB"/>
      </left>
      <right style="thin">
        <color rgb="FFD1D5DB"/>
      </right>
      <top style="thin">
        <color rgb="FFD1D5DB"/>
      </top>
      <bottom/>
      <diagonal/>
    </border>
    <border>
      <left style="medium">
        <color rgb="FF1976D2"/>
      </left>
      <right style="thin">
        <color rgb="FFD1D5DB"/>
      </right>
      <top style="thin">
        <color rgb="FFD1D5DB"/>
      </top>
      <bottom/>
      <diagonal/>
    </border>
    <border>
      <left style="medium">
        <color rgb="FFD97706"/>
      </left>
      <right style="thin">
        <color rgb="FFD1D5DB"/>
      </right>
      <top style="thin">
        <color rgb="FFD1D5DB"/>
      </top>
      <bottom/>
      <diagonal/>
    </border>
    <border>
      <left style="thin">
        <color rgb="FFFFFFFF"/>
      </left>
      <right/>
      <top style="thin">
        <color rgb="FFFFFFFF"/>
      </top>
      <bottom/>
      <diagonal/>
    </border>
    <border>
      <left style="thin">
        <color rgb="FFD1D5DB"/>
      </left>
      <right style="thin">
        <color rgb="FFD1D5DB"/>
      </right>
      <top/>
      <bottom style="thin">
        <color rgb="FFD1D5DB"/>
      </bottom>
      <diagonal/>
    </border>
    <border>
      <left style="medium">
        <color rgb="FF1976D2"/>
      </left>
      <right style="thin">
        <color rgb="FFD1D5DB"/>
      </right>
      <top/>
      <bottom style="thin">
        <color rgb="FFD1D5DB"/>
      </bottom>
      <diagonal/>
    </border>
    <border>
      <left style="medium">
        <color rgb="FF0D9488"/>
      </left>
      <right style="thin">
        <color rgb="FFD1D5DB"/>
      </right>
      <top/>
      <bottom style="thin">
        <color rgb="FFD1D5DB"/>
      </bottom>
      <diagonal/>
    </border>
    <border>
      <left style="medium">
        <color rgb="FF0D9488"/>
      </left>
      <right style="thin">
        <color rgb="FFD1D5DB"/>
      </right>
      <top style="thin">
        <color rgb="FFD1D5DB"/>
      </top>
      <bottom/>
      <diagonal/>
    </border>
  </borders>
  <cellStyleXfs count="1">
    <xf numFmtId="0" fontId="0" fillId="0" borderId="0"/>
  </cellStyleXfs>
  <cellXfs count="233">
    <xf numFmtId="0" fontId="0" fillId="0" borderId="0" xfId="0"/>
    <xf numFmtId="0" fontId="10" fillId="5" borderId="2" xfId="0" applyFont="1" applyFill="1" applyBorder="1" applyAlignment="1">
      <alignment horizontal="left" vertical="center"/>
    </xf>
    <xf numFmtId="0" fontId="4" fillId="5" borderId="2" xfId="0" applyFont="1" applyFill="1" applyBorder="1" applyAlignment="1">
      <alignment horizontal="left" vertical="center"/>
    </xf>
    <xf numFmtId="0" fontId="10" fillId="17" borderId="2" xfId="0" applyFont="1" applyFill="1" applyBorder="1" applyAlignment="1">
      <alignment horizontal="left" vertical="center"/>
    </xf>
    <xf numFmtId="0" fontId="10" fillId="4" borderId="2" xfId="0" applyFont="1" applyFill="1" applyBorder="1" applyAlignment="1">
      <alignment horizontal="left" vertical="center"/>
    </xf>
    <xf numFmtId="0" fontId="4" fillId="4" borderId="2" xfId="0" applyFont="1" applyFill="1" applyBorder="1" applyAlignment="1">
      <alignment horizontal="left" vertical="center"/>
    </xf>
    <xf numFmtId="0" fontId="0" fillId="2" borderId="2" xfId="0" applyFill="1" applyBorder="1"/>
    <xf numFmtId="0" fontId="2" fillId="9" borderId="2" xfId="0" applyFont="1" applyFill="1" applyBorder="1" applyAlignment="1">
      <alignment horizontal="center" vertical="center"/>
    </xf>
    <xf numFmtId="0" fontId="2" fillId="8" borderId="2" xfId="0" applyFont="1" applyFill="1" applyBorder="1" applyAlignment="1">
      <alignment horizontal="center" vertical="center"/>
    </xf>
    <xf numFmtId="0" fontId="2" fillId="7" borderId="2" xfId="0" applyFont="1" applyFill="1" applyBorder="1" applyAlignment="1">
      <alignment horizontal="center" vertical="center"/>
    </xf>
    <xf numFmtId="0" fontId="2" fillId="6" borderId="2" xfId="0" applyFont="1" applyFill="1" applyBorder="1" applyAlignment="1">
      <alignment horizontal="center" vertical="center"/>
    </xf>
    <xf numFmtId="0" fontId="2" fillId="5" borderId="2" xfId="0" applyFont="1" applyFill="1" applyBorder="1" applyAlignment="1">
      <alignment horizontal="center" vertical="center"/>
    </xf>
    <xf numFmtId="0" fontId="2" fillId="4" borderId="2" xfId="0" applyFont="1" applyFill="1" applyBorder="1" applyAlignment="1">
      <alignment horizontal="center" vertical="center"/>
    </xf>
    <xf numFmtId="0" fontId="1" fillId="2" borderId="0" xfId="0" applyFont="1" applyFill="1" applyAlignment="1">
      <alignment horizontal="left" vertical="center"/>
    </xf>
    <xf numFmtId="0" fontId="0" fillId="3" borderId="1" xfId="0" applyFill="1" applyBorder="1"/>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0" fontId="2" fillId="4" borderId="1" xfId="0" applyFont="1" applyFill="1" applyBorder="1" applyAlignment="1">
      <alignment horizontal="center" vertical="center"/>
    </xf>
    <xf numFmtId="0" fontId="2" fillId="9" borderId="1" xfId="0" applyFont="1" applyFill="1" applyBorder="1" applyAlignment="1">
      <alignment horizontal="center" vertical="center"/>
    </xf>
    <xf numFmtId="0" fontId="0" fillId="10" borderId="3" xfId="0" applyFill="1" applyBorder="1"/>
    <xf numFmtId="0" fontId="5" fillId="10" borderId="4" xfId="0" applyFont="1" applyFill="1" applyBorder="1" applyAlignment="1">
      <alignment horizontal="center" vertical="center"/>
    </xf>
    <xf numFmtId="0" fontId="7" fillId="10" borderId="4" xfId="0" applyFont="1" applyFill="1" applyBorder="1" applyAlignment="1">
      <alignment horizontal="left" vertical="center" indent="1"/>
    </xf>
    <xf numFmtId="0" fontId="8" fillId="11" borderId="4" xfId="0" applyFont="1" applyFill="1" applyBorder="1" applyAlignment="1">
      <alignment horizontal="left" vertical="center" wrapText="1"/>
    </xf>
    <xf numFmtId="0" fontId="9" fillId="12" borderId="4" xfId="0" applyFont="1" applyFill="1" applyBorder="1" applyAlignment="1">
      <alignment horizontal="left" vertical="center"/>
    </xf>
    <xf numFmtId="0" fontId="0" fillId="13" borderId="6" xfId="0" applyFill="1" applyBorder="1"/>
    <xf numFmtId="0" fontId="10" fillId="4" borderId="7" xfId="0" applyFont="1" applyFill="1" applyBorder="1" applyAlignment="1">
      <alignment horizontal="center" vertical="center"/>
    </xf>
    <xf numFmtId="0" fontId="0" fillId="14" borderId="6" xfId="0" applyFill="1" applyBorder="1"/>
    <xf numFmtId="0" fontId="10" fillId="5" borderId="7" xfId="0" applyFont="1" applyFill="1" applyBorder="1" applyAlignment="1">
      <alignment horizontal="center" vertical="center"/>
    </xf>
    <xf numFmtId="0" fontId="10" fillId="6" borderId="7" xfId="0" applyFont="1" applyFill="1" applyBorder="1" applyAlignment="1">
      <alignment horizontal="center" vertical="center"/>
    </xf>
    <xf numFmtId="0" fontId="10" fillId="7" borderId="7" xfId="0" applyFont="1" applyFill="1" applyBorder="1" applyAlignment="1">
      <alignment horizontal="center" vertical="center"/>
    </xf>
    <xf numFmtId="0" fontId="10" fillId="8" borderId="7" xfId="0" applyFont="1" applyFill="1" applyBorder="1" applyAlignment="1">
      <alignment horizontal="center" vertical="center"/>
    </xf>
    <xf numFmtId="0" fontId="6" fillId="10" borderId="12" xfId="0" applyFont="1" applyFill="1" applyBorder="1" applyAlignment="1">
      <alignment horizontal="left" vertical="center" indent="1"/>
    </xf>
    <xf numFmtId="0" fontId="10" fillId="9" borderId="7" xfId="0" applyFont="1" applyFill="1" applyBorder="1" applyAlignment="1">
      <alignment horizontal="center" vertical="center"/>
    </xf>
    <xf numFmtId="0" fontId="0" fillId="4" borderId="7" xfId="0" applyFill="1" applyBorder="1"/>
    <xf numFmtId="0" fontId="0" fillId="15" borderId="3" xfId="0" applyFill="1" applyBorder="1"/>
    <xf numFmtId="0" fontId="6" fillId="15" borderId="5" xfId="0" applyFont="1" applyFill="1" applyBorder="1" applyAlignment="1">
      <alignment horizontal="left" vertical="center" indent="1"/>
    </xf>
    <xf numFmtId="0" fontId="7" fillId="15" borderId="4" xfId="0" applyFont="1" applyFill="1" applyBorder="1" applyAlignment="1">
      <alignment horizontal="left" vertical="center" indent="1"/>
    </xf>
    <xf numFmtId="0" fontId="11" fillId="11" borderId="4" xfId="0" applyFont="1" applyFill="1" applyBorder="1" applyAlignment="1">
      <alignment horizontal="left" vertical="center" wrapText="1"/>
    </xf>
    <xf numFmtId="0" fontId="12" fillId="12" borderId="4" xfId="0" applyFont="1" applyFill="1" applyBorder="1" applyAlignment="1">
      <alignment horizontal="center" vertical="center"/>
    </xf>
    <xf numFmtId="0" fontId="13" fillId="16" borderId="4" xfId="0" applyFont="1" applyFill="1" applyBorder="1" applyAlignment="1">
      <alignment horizontal="center" vertical="center"/>
    </xf>
    <xf numFmtId="0" fontId="0" fillId="17" borderId="7" xfId="0" applyFill="1" applyBorder="1"/>
    <xf numFmtId="0" fontId="0" fillId="18" borderId="3" xfId="0" applyFill="1" applyBorder="1"/>
    <xf numFmtId="0" fontId="5" fillId="18" borderId="4" xfId="0" applyFont="1" applyFill="1" applyBorder="1" applyAlignment="1">
      <alignment horizontal="center" vertical="center"/>
    </xf>
    <xf numFmtId="0" fontId="7" fillId="18" borderId="4" xfId="0" applyFont="1" applyFill="1" applyBorder="1" applyAlignment="1">
      <alignment horizontal="left" vertical="center" indent="1"/>
    </xf>
    <xf numFmtId="0" fontId="0" fillId="5" borderId="7" xfId="0" applyFill="1" applyBorder="1"/>
    <xf numFmtId="0" fontId="10" fillId="5" borderId="2" xfId="0" applyFont="1" applyFill="1" applyBorder="1" applyAlignment="1">
      <alignment horizontal="left" vertical="center"/>
    </xf>
    <xf numFmtId="0" fontId="0" fillId="16" borderId="3" xfId="0" applyFill="1" applyBorder="1"/>
    <xf numFmtId="0" fontId="6" fillId="16" borderId="8" xfId="0" applyFont="1" applyFill="1" applyBorder="1" applyAlignment="1">
      <alignment horizontal="left" vertical="center" indent="1"/>
    </xf>
    <xf numFmtId="0" fontId="7" fillId="16" borderId="4" xfId="0" applyFont="1" applyFill="1" applyBorder="1" applyAlignment="1">
      <alignment horizontal="left" vertical="center" indent="1"/>
    </xf>
    <xf numFmtId="0" fontId="0" fillId="6" borderId="7" xfId="0" applyFill="1" applyBorder="1"/>
    <xf numFmtId="0" fontId="0" fillId="19" borderId="3" xfId="0" applyFill="1" applyBorder="1"/>
    <xf numFmtId="0" fontId="5" fillId="19" borderId="4" xfId="0" applyFont="1" applyFill="1" applyBorder="1" applyAlignment="1">
      <alignment horizontal="center" vertical="center"/>
    </xf>
    <xf numFmtId="0" fontId="6" fillId="19" borderId="9" xfId="0" applyFont="1" applyFill="1" applyBorder="1" applyAlignment="1">
      <alignment horizontal="left" vertical="center" indent="1"/>
    </xf>
    <xf numFmtId="0" fontId="7" fillId="19" borderId="4" xfId="0" applyFont="1" applyFill="1" applyBorder="1" applyAlignment="1">
      <alignment horizontal="left" vertical="center" indent="1"/>
    </xf>
    <xf numFmtId="0" fontId="6" fillId="18" borderId="9" xfId="0" applyFont="1" applyFill="1" applyBorder="1" applyAlignment="1">
      <alignment horizontal="left" vertical="center" indent="1"/>
    </xf>
    <xf numFmtId="0" fontId="0" fillId="7" borderId="7" xfId="0" applyFill="1" applyBorder="1"/>
    <xf numFmtId="0" fontId="0" fillId="20" borderId="3" xfId="0" applyFill="1" applyBorder="1"/>
    <xf numFmtId="0" fontId="5" fillId="20" borderId="4" xfId="0" applyFont="1" applyFill="1" applyBorder="1" applyAlignment="1">
      <alignment horizontal="center" vertical="center"/>
    </xf>
    <xf numFmtId="0" fontId="6" fillId="20" borderId="10" xfId="0" applyFont="1" applyFill="1" applyBorder="1" applyAlignment="1">
      <alignment horizontal="left" vertical="center" indent="1"/>
    </xf>
    <xf numFmtId="0" fontId="7" fillId="20" borderId="4" xfId="0" applyFont="1" applyFill="1" applyBorder="1" applyAlignment="1">
      <alignment horizontal="left" vertical="center" indent="1"/>
    </xf>
    <xf numFmtId="0" fontId="6" fillId="18" borderId="10" xfId="0" applyFont="1" applyFill="1" applyBorder="1" applyAlignment="1">
      <alignment horizontal="left" vertical="center" indent="1"/>
    </xf>
    <xf numFmtId="0" fontId="0" fillId="8" borderId="7" xfId="0" applyFill="1" applyBorder="1"/>
    <xf numFmtId="0" fontId="0" fillId="21" borderId="3" xfId="0" applyFill="1" applyBorder="1"/>
    <xf numFmtId="0" fontId="5" fillId="21" borderId="4" xfId="0" applyFont="1" applyFill="1" applyBorder="1" applyAlignment="1">
      <alignment horizontal="center" vertical="center"/>
    </xf>
    <xf numFmtId="0" fontId="6" fillId="21" borderId="11" xfId="0" applyFont="1" applyFill="1" applyBorder="1" applyAlignment="1">
      <alignment horizontal="left" vertical="center" indent="1"/>
    </xf>
    <xf numFmtId="0" fontId="7" fillId="21" borderId="4" xfId="0" applyFont="1" applyFill="1" applyBorder="1" applyAlignment="1">
      <alignment horizontal="left" vertical="center" indent="1"/>
    </xf>
    <xf numFmtId="0" fontId="6" fillId="18" borderId="11" xfId="0" applyFont="1" applyFill="1" applyBorder="1" applyAlignment="1">
      <alignment horizontal="left" vertical="center" indent="1"/>
    </xf>
    <xf numFmtId="0" fontId="0" fillId="9" borderId="7" xfId="0" applyFill="1" applyBorder="1"/>
    <xf numFmtId="0" fontId="6" fillId="18" borderId="12" xfId="0" applyFont="1" applyFill="1" applyBorder="1" applyAlignment="1">
      <alignment horizontal="left" vertical="center" indent="1"/>
    </xf>
    <xf numFmtId="0" fontId="0" fillId="3" borderId="7" xfId="0" applyFill="1" applyBorder="1"/>
    <xf numFmtId="0" fontId="0" fillId="12" borderId="3" xfId="0" applyFill="1" applyBorder="1"/>
    <xf numFmtId="0" fontId="6" fillId="12" borderId="13" xfId="0" applyFont="1" applyFill="1" applyBorder="1" applyAlignment="1">
      <alignment horizontal="left" vertical="center" indent="1"/>
    </xf>
    <xf numFmtId="0" fontId="7" fillId="12" borderId="4" xfId="0" applyFont="1" applyFill="1" applyBorder="1" applyAlignment="1">
      <alignment horizontal="left" vertical="center" indent="1"/>
    </xf>
    <xf numFmtId="0" fontId="6" fillId="12" borderId="5" xfId="0" applyFont="1" applyFill="1" applyBorder="1" applyAlignment="1">
      <alignment horizontal="left" vertical="center" indent="1"/>
    </xf>
    <xf numFmtId="0" fontId="6" fillId="12" borderId="8" xfId="0" applyFont="1" applyFill="1" applyBorder="1" applyAlignment="1">
      <alignment horizontal="left" vertical="center" indent="1"/>
    </xf>
    <xf numFmtId="0" fontId="6" fillId="12" borderId="9" xfId="0" applyFont="1" applyFill="1" applyBorder="1" applyAlignment="1">
      <alignment horizontal="left" vertical="center" indent="1"/>
    </xf>
    <xf numFmtId="0" fontId="4" fillId="6" borderId="2" xfId="0" applyFont="1" applyFill="1" applyBorder="1" applyAlignment="1">
      <alignment horizontal="left" vertical="center"/>
    </xf>
    <xf numFmtId="0" fontId="10" fillId="6" borderId="2" xfId="0" applyFont="1" applyFill="1" applyBorder="1" applyAlignment="1">
      <alignment horizontal="left" vertical="center"/>
    </xf>
    <xf numFmtId="0" fontId="4" fillId="7" borderId="2" xfId="0" applyFont="1" applyFill="1" applyBorder="1" applyAlignment="1">
      <alignment horizontal="left" vertical="center"/>
    </xf>
    <xf numFmtId="0" fontId="10" fillId="7" borderId="2" xfId="0" applyFont="1" applyFill="1" applyBorder="1" applyAlignment="1">
      <alignment horizontal="left" vertical="center"/>
    </xf>
    <xf numFmtId="0" fontId="4" fillId="8" borderId="2" xfId="0" applyFont="1" applyFill="1" applyBorder="1" applyAlignment="1">
      <alignment horizontal="left" vertical="center"/>
    </xf>
    <xf numFmtId="0" fontId="10" fillId="8" borderId="2" xfId="0" applyFont="1" applyFill="1" applyBorder="1" applyAlignment="1">
      <alignment horizontal="left" vertical="center"/>
    </xf>
    <xf numFmtId="0" fontId="4" fillId="9" borderId="2" xfId="0" applyFont="1" applyFill="1" applyBorder="1" applyAlignment="1">
      <alignment horizontal="left" vertical="center"/>
    </xf>
    <xf numFmtId="0" fontId="10" fillId="9" borderId="2" xfId="0" applyFont="1" applyFill="1" applyBorder="1" applyAlignment="1">
      <alignment horizontal="left" vertical="center"/>
    </xf>
    <xf numFmtId="0" fontId="4" fillId="3" borderId="2" xfId="0" applyFont="1" applyFill="1" applyBorder="1" applyAlignment="1">
      <alignment horizontal="left" vertical="center"/>
    </xf>
    <xf numFmtId="0" fontId="10" fillId="3" borderId="2" xfId="0" applyFont="1" applyFill="1" applyBorder="1" applyAlignment="1">
      <alignment horizontal="left" vertical="center"/>
    </xf>
    <xf numFmtId="0" fontId="0" fillId="23" borderId="0" xfId="0" applyFill="1"/>
    <xf numFmtId="0" fontId="15" fillId="23" borderId="15" xfId="0" applyFont="1" applyFill="1" applyBorder="1" applyAlignment="1">
      <alignment horizontal="center"/>
    </xf>
    <xf numFmtId="0" fontId="15" fillId="23" borderId="15" xfId="0" applyFont="1" applyFill="1" applyBorder="1" applyAlignment="1">
      <alignment horizontal="left"/>
    </xf>
    <xf numFmtId="0" fontId="0" fillId="24" borderId="15" xfId="0" applyFill="1" applyBorder="1"/>
    <xf numFmtId="0" fontId="16" fillId="24" borderId="16" xfId="0" applyFont="1" applyFill="1" applyBorder="1" applyAlignment="1">
      <alignment horizontal="center"/>
    </xf>
    <xf numFmtId="0" fontId="16" fillId="24" borderId="17" xfId="0" applyFont="1" applyFill="1" applyBorder="1" applyAlignment="1">
      <alignment horizontal="center"/>
    </xf>
    <xf numFmtId="0" fontId="17" fillId="24" borderId="18" xfId="0" applyFont="1" applyFill="1" applyBorder="1" applyAlignment="1">
      <alignment horizontal="left"/>
    </xf>
    <xf numFmtId="0" fontId="19" fillId="24" borderId="16" xfId="0" applyFont="1" applyFill="1" applyBorder="1" applyAlignment="1">
      <alignment horizontal="left"/>
    </xf>
    <xf numFmtId="0" fontId="19" fillId="24" borderId="17" xfId="0" applyFont="1" applyFill="1" applyBorder="1" applyAlignment="1">
      <alignment horizontal="left"/>
    </xf>
    <xf numFmtId="0" fontId="21" fillId="26" borderId="20" xfId="0" applyFont="1" applyFill="1" applyBorder="1" applyAlignment="1">
      <alignment horizontal="center"/>
    </xf>
    <xf numFmtId="0" fontId="22" fillId="27" borderId="20" xfId="0" applyFont="1" applyFill="1" applyBorder="1" applyAlignment="1">
      <alignment horizontal="center"/>
    </xf>
    <xf numFmtId="0" fontId="22" fillId="27" borderId="21" xfId="0" applyFont="1" applyFill="1" applyBorder="1" applyAlignment="1">
      <alignment horizontal="center"/>
    </xf>
    <xf numFmtId="164" fontId="18" fillId="28" borderId="20" xfId="0" applyNumberFormat="1" applyFont="1" applyFill="1" applyBorder="1" applyAlignment="1">
      <alignment horizontal="center"/>
    </xf>
    <xf numFmtId="164" fontId="18" fillId="28" borderId="21" xfId="0" applyNumberFormat="1" applyFont="1" applyFill="1" applyBorder="1" applyAlignment="1">
      <alignment horizontal="center"/>
    </xf>
    <xf numFmtId="0" fontId="0" fillId="24" borderId="0" xfId="0" applyFill="1" applyBorder="1"/>
    <xf numFmtId="0" fontId="17" fillId="24" borderId="22" xfId="0" applyFont="1" applyFill="1" applyBorder="1" applyAlignment="1">
      <alignment horizontal="left"/>
    </xf>
    <xf numFmtId="0" fontId="23" fillId="29" borderId="20" xfId="0" applyFont="1" applyFill="1" applyBorder="1" applyAlignment="1">
      <alignment horizontal="center"/>
    </xf>
    <xf numFmtId="0" fontId="17" fillId="24" borderId="24" xfId="0" applyFont="1" applyFill="1" applyBorder="1" applyAlignment="1">
      <alignment horizontal="left"/>
    </xf>
    <xf numFmtId="0" fontId="24" fillId="30" borderId="20" xfId="0" applyFont="1" applyFill="1" applyBorder="1" applyAlignment="1">
      <alignment horizontal="center"/>
    </xf>
    <xf numFmtId="0" fontId="17" fillId="24" borderId="26" xfId="0" applyFont="1" applyFill="1" applyBorder="1" applyAlignment="1">
      <alignment horizontal="left"/>
    </xf>
    <xf numFmtId="0" fontId="22" fillId="31" borderId="20" xfId="0" applyFont="1" applyFill="1" applyBorder="1" applyAlignment="1">
      <alignment horizontal="center"/>
    </xf>
    <xf numFmtId="0" fontId="17" fillId="24" borderId="27" xfId="0" applyFont="1" applyFill="1" applyBorder="1" applyAlignment="1">
      <alignment horizontal="left"/>
    </xf>
    <xf numFmtId="0" fontId="25" fillId="32" borderId="20" xfId="0" applyFont="1" applyFill="1" applyBorder="1" applyAlignment="1">
      <alignment horizontal="center"/>
    </xf>
    <xf numFmtId="0" fontId="17" fillId="24" borderId="28" xfId="0" applyFont="1" applyFill="1" applyBorder="1" applyAlignment="1">
      <alignment horizontal="left"/>
    </xf>
    <xf numFmtId="0" fontId="26" fillId="33" borderId="20" xfId="0" applyFont="1" applyFill="1" applyBorder="1" applyAlignment="1">
      <alignment horizontal="center"/>
    </xf>
    <xf numFmtId="0" fontId="17" fillId="24" borderId="29" xfId="0" applyFont="1" applyFill="1" applyBorder="1" applyAlignment="1">
      <alignment horizontal="left"/>
    </xf>
    <xf numFmtId="0" fontId="27" fillId="34" borderId="21" xfId="0" applyFont="1" applyFill="1" applyBorder="1" applyAlignment="1">
      <alignment horizontal="center"/>
    </xf>
    <xf numFmtId="0" fontId="0" fillId="28" borderId="0" xfId="0" applyFill="1"/>
    <xf numFmtId="0" fontId="17" fillId="35" borderId="20" xfId="0" applyFont="1" applyFill="1" applyBorder="1" applyAlignment="1">
      <alignment horizontal="left"/>
    </xf>
    <xf numFmtId="0" fontId="0" fillId="35" borderId="20" xfId="0" applyFill="1" applyBorder="1"/>
    <xf numFmtId="0" fontId="29" fillId="35" borderId="20" xfId="0" applyFont="1" applyFill="1" applyBorder="1" applyAlignment="1">
      <alignment horizontal="center"/>
    </xf>
    <xf numFmtId="0" fontId="30" fillId="36" borderId="20" xfId="0" applyFont="1" applyFill="1" applyBorder="1" applyAlignment="1">
      <alignment horizontal="left"/>
    </xf>
    <xf numFmtId="0" fontId="0" fillId="36" borderId="20" xfId="0" applyFill="1" applyBorder="1"/>
    <xf numFmtId="0" fontId="31" fillId="36" borderId="20" xfId="0" applyFont="1" applyFill="1" applyBorder="1" applyAlignment="1">
      <alignment horizontal="center"/>
    </xf>
    <xf numFmtId="0" fontId="32" fillId="30" borderId="20" xfId="0" applyFont="1" applyFill="1" applyBorder="1" applyAlignment="1">
      <alignment horizontal="left"/>
    </xf>
    <xf numFmtId="0" fontId="0" fillId="30" borderId="20" xfId="0" applyFill="1" applyBorder="1"/>
    <xf numFmtId="0" fontId="33" fillId="30" borderId="20" xfId="0" applyFont="1" applyFill="1" applyBorder="1" applyAlignment="1">
      <alignment horizontal="center"/>
    </xf>
    <xf numFmtId="0" fontId="34" fillId="28" borderId="21" xfId="0" applyFont="1" applyFill="1" applyBorder="1" applyAlignment="1">
      <alignment horizontal="left"/>
    </xf>
    <xf numFmtId="0" fontId="0" fillId="28" borderId="21" xfId="0" applyFill="1" applyBorder="1"/>
    <xf numFmtId="0" fontId="35" fillId="28" borderId="21" xfId="0" applyFont="1" applyFill="1" applyBorder="1" applyAlignment="1">
      <alignment horizontal="center"/>
    </xf>
    <xf numFmtId="0" fontId="14" fillId="22" borderId="14" xfId="0" applyFont="1" applyFill="1" applyBorder="1" applyAlignment="1">
      <alignment horizontal="left"/>
    </xf>
    <xf numFmtId="0" fontId="28" fillId="22" borderId="0" xfId="0" applyFont="1" applyFill="1" applyBorder="1" applyAlignment="1">
      <alignment horizontal="left"/>
    </xf>
    <xf numFmtId="0" fontId="20" fillId="25" borderId="20" xfId="0" applyFont="1" applyFill="1" applyBorder="1" applyAlignment="1">
      <alignment horizontal="left" wrapText="1"/>
    </xf>
    <xf numFmtId="0" fontId="20" fillId="25" borderId="21" xfId="0" applyFont="1" applyFill="1" applyBorder="1" applyAlignment="1">
      <alignment horizontal="left" wrapText="1"/>
    </xf>
    <xf numFmtId="0" fontId="18" fillId="28" borderId="20" xfId="0" applyFont="1" applyFill="1" applyBorder="1" applyAlignment="1">
      <alignment horizontal="left" wrapText="1"/>
    </xf>
    <xf numFmtId="0" fontId="18" fillId="28" borderId="21" xfId="0" applyFont="1" applyFill="1" applyBorder="1" applyAlignment="1">
      <alignment horizontal="left" wrapText="1"/>
    </xf>
    <xf numFmtId="0" fontId="0" fillId="3" borderId="0" xfId="0" applyFill="1" applyBorder="1"/>
    <xf numFmtId="0" fontId="12" fillId="12" borderId="0" xfId="0" applyFont="1" applyFill="1" applyBorder="1" applyAlignment="1">
      <alignment horizontal="center" vertical="center"/>
    </xf>
    <xf numFmtId="0" fontId="15" fillId="23" borderId="1" xfId="0" applyFont="1" applyFill="1" applyBorder="1" applyAlignment="1">
      <alignment horizontal="center" vertical="center"/>
    </xf>
    <xf numFmtId="0" fontId="3" fillId="3" borderId="30" xfId="0" applyFont="1" applyFill="1" applyBorder="1" applyAlignment="1">
      <alignment horizontal="center" vertical="center"/>
    </xf>
    <xf numFmtId="0" fontId="2" fillId="4" borderId="31" xfId="0" applyFont="1" applyFill="1" applyBorder="1" applyAlignment="1">
      <alignment horizontal="center" vertical="center"/>
    </xf>
    <xf numFmtId="9" fontId="38" fillId="28" borderId="0" xfId="0" applyNumberFormat="1" applyFont="1" applyFill="1" applyBorder="1" applyAlignment="1">
      <alignment horizontal="center" vertical="center"/>
    </xf>
    <xf numFmtId="0" fontId="0" fillId="16" borderId="0" xfId="0" applyFill="1" applyBorder="1"/>
    <xf numFmtId="0" fontId="0" fillId="13" borderId="0" xfId="0" applyFill="1" applyBorder="1"/>
    <xf numFmtId="0" fontId="0" fillId="5" borderId="2" xfId="0" applyFill="1" applyBorder="1"/>
    <xf numFmtId="0" fontId="0" fillId="14" borderId="0" xfId="0" applyFill="1" applyBorder="1"/>
    <xf numFmtId="0" fontId="10" fillId="5" borderId="32" xfId="0" applyFont="1" applyFill="1" applyBorder="1" applyAlignment="1">
      <alignment horizontal="left" vertical="center"/>
    </xf>
    <xf numFmtId="0" fontId="6" fillId="16" borderId="34" xfId="0" applyFont="1" applyFill="1" applyBorder="1" applyAlignment="1">
      <alignment horizontal="left" vertical="center" indent="1"/>
    </xf>
    <xf numFmtId="0" fontId="39" fillId="38" borderId="23" xfId="0" applyFont="1" applyFill="1" applyBorder="1" applyAlignment="1">
      <alignment horizontal="left" vertical="center" indent="1"/>
    </xf>
    <xf numFmtId="0" fontId="7" fillId="16" borderId="33" xfId="0" applyFont="1" applyFill="1" applyBorder="1" applyAlignment="1">
      <alignment horizontal="left" vertical="center" indent="1"/>
    </xf>
    <xf numFmtId="0" fontId="40" fillId="38" borderId="17" xfId="0" applyFont="1" applyFill="1" applyBorder="1" applyAlignment="1">
      <alignment horizontal="left" vertical="center" indent="1"/>
    </xf>
    <xf numFmtId="0" fontId="11" fillId="11" borderId="33" xfId="0" applyFont="1" applyFill="1" applyBorder="1" applyAlignment="1">
      <alignment horizontal="left" vertical="center" wrapText="1"/>
    </xf>
    <xf numFmtId="0" fontId="41" fillId="25" borderId="21" xfId="0" applyFont="1" applyFill="1" applyBorder="1" applyAlignment="1">
      <alignment horizontal="left" vertical="center" wrapText="1"/>
    </xf>
    <xf numFmtId="0" fontId="9" fillId="12" borderId="33" xfId="0" applyFont="1" applyFill="1" applyBorder="1" applyAlignment="1">
      <alignment horizontal="left" vertical="center"/>
    </xf>
    <xf numFmtId="0" fontId="37" fillId="35" borderId="21" xfId="0" applyFont="1" applyFill="1" applyBorder="1" applyAlignment="1">
      <alignment horizontal="left" vertical="center"/>
    </xf>
    <xf numFmtId="0" fontId="12" fillId="12" borderId="33" xfId="0" applyFont="1" applyFill="1" applyBorder="1" applyAlignment="1">
      <alignment horizontal="center" vertical="center"/>
    </xf>
    <xf numFmtId="0" fontId="42" fillId="35" borderId="21" xfId="0" applyFont="1" applyFill="1" applyBorder="1" applyAlignment="1">
      <alignment horizontal="center" vertical="center"/>
    </xf>
    <xf numFmtId="9" fontId="43" fillId="28" borderId="0" xfId="0" applyNumberFormat="1" applyFont="1" applyFill="1" applyBorder="1" applyAlignment="1">
      <alignment horizontal="center" vertical="center"/>
    </xf>
    <xf numFmtId="0" fontId="0" fillId="19" borderId="0" xfId="0" applyFill="1" applyBorder="1"/>
    <xf numFmtId="0" fontId="0" fillId="6" borderId="2" xfId="0" applyFill="1" applyBorder="1"/>
    <xf numFmtId="0" fontId="5" fillId="19" borderId="33" xfId="0" applyFont="1" applyFill="1" applyBorder="1" applyAlignment="1">
      <alignment horizontal="center" vertical="center"/>
    </xf>
    <xf numFmtId="0" fontId="39" fillId="37" borderId="24" xfId="0" applyFont="1" applyFill="1" applyBorder="1" applyAlignment="1">
      <alignment horizontal="left" vertical="center" indent="1"/>
    </xf>
    <xf numFmtId="0" fontId="6" fillId="19" borderId="35" xfId="0" applyFont="1" applyFill="1" applyBorder="1" applyAlignment="1">
      <alignment horizontal="left" vertical="center" indent="1"/>
    </xf>
    <xf numFmtId="0" fontId="39" fillId="37" borderId="25" xfId="0" applyFont="1" applyFill="1" applyBorder="1" applyAlignment="1">
      <alignment horizontal="left" vertical="center" indent="1"/>
    </xf>
    <xf numFmtId="0" fontId="40" fillId="37" borderId="16" xfId="0" applyFont="1" applyFill="1" applyBorder="1" applyAlignment="1">
      <alignment horizontal="left" vertical="center" indent="1"/>
    </xf>
    <xf numFmtId="0" fontId="7" fillId="19" borderId="33" xfId="0" applyFont="1" applyFill="1" applyBorder="1" applyAlignment="1">
      <alignment horizontal="left" vertical="center" indent="1"/>
    </xf>
    <xf numFmtId="0" fontId="40" fillId="37" borderId="17" xfId="0" applyFont="1" applyFill="1" applyBorder="1" applyAlignment="1">
      <alignment horizontal="left" vertical="center" indent="1"/>
    </xf>
    <xf numFmtId="0" fontId="41" fillId="25" borderId="20" xfId="0" applyFont="1" applyFill="1" applyBorder="1" applyAlignment="1">
      <alignment horizontal="left" vertical="center" wrapText="1"/>
    </xf>
    <xf numFmtId="0" fontId="37" fillId="35" borderId="20" xfId="0" applyFont="1" applyFill="1" applyBorder="1" applyAlignment="1">
      <alignment horizontal="left" vertical="center"/>
    </xf>
    <xf numFmtId="0" fontId="42" fillId="35" borderId="20" xfId="0" applyFont="1" applyFill="1" applyBorder="1" applyAlignment="1">
      <alignment horizontal="center" vertical="center"/>
    </xf>
    <xf numFmtId="0" fontId="10" fillId="6" borderId="32" xfId="0" applyFont="1" applyFill="1" applyBorder="1" applyAlignment="1">
      <alignment horizontal="left" vertical="center"/>
    </xf>
    <xf numFmtId="0" fontId="10" fillId="17" borderId="32" xfId="0" applyFont="1" applyFill="1" applyBorder="1" applyAlignment="1">
      <alignment horizontal="left" vertical="center"/>
    </xf>
    <xf numFmtId="0" fontId="10" fillId="17" borderId="36" xfId="0" applyFont="1" applyFill="1" applyBorder="1" applyAlignment="1">
      <alignment horizontal="left" vertical="center"/>
    </xf>
    <xf numFmtId="0" fontId="5" fillId="18" borderId="37" xfId="0" applyFont="1" applyFill="1" applyBorder="1" applyAlignment="1">
      <alignment horizontal="center" vertical="center"/>
    </xf>
    <xf numFmtId="0" fontId="6" fillId="18" borderId="38" xfId="0" applyFont="1" applyFill="1" applyBorder="1" applyAlignment="1">
      <alignment horizontal="left" vertical="center" indent="1"/>
    </xf>
    <xf numFmtId="0" fontId="39" fillId="38" borderId="23" xfId="0" applyFont="1" applyFill="1" applyBorder="1" applyAlignment="1">
      <alignment horizontal="left" vertical="center"/>
    </xf>
    <xf numFmtId="0" fontId="7" fillId="18" borderId="37" xfId="0" applyFont="1" applyFill="1" applyBorder="1" applyAlignment="1">
      <alignment horizontal="left" vertical="center" indent="1"/>
    </xf>
    <xf numFmtId="0" fontId="44" fillId="38" borderId="17" xfId="0" applyFont="1" applyFill="1" applyBorder="1" applyAlignment="1">
      <alignment horizontal="left" vertical="center"/>
    </xf>
    <xf numFmtId="0" fontId="8" fillId="11" borderId="37" xfId="0" applyFont="1" applyFill="1" applyBorder="1" applyAlignment="1">
      <alignment horizontal="left" vertical="center" wrapText="1"/>
    </xf>
    <xf numFmtId="0" fontId="45" fillId="25" borderId="21" xfId="0" applyFont="1" applyFill="1" applyBorder="1" applyAlignment="1">
      <alignment horizontal="left" vertical="center"/>
    </xf>
    <xf numFmtId="0" fontId="9" fillId="12" borderId="37" xfId="0" applyFont="1" applyFill="1" applyBorder="1" applyAlignment="1">
      <alignment horizontal="left" vertical="center"/>
    </xf>
    <xf numFmtId="0" fontId="46" fillId="35" borderId="21" xfId="0" applyFont="1" applyFill="1" applyBorder="1" applyAlignment="1">
      <alignment horizontal="left" vertical="center"/>
    </xf>
    <xf numFmtId="0" fontId="12" fillId="12" borderId="37" xfId="0" applyFont="1" applyFill="1" applyBorder="1" applyAlignment="1">
      <alignment horizontal="center" vertical="center"/>
    </xf>
    <xf numFmtId="0" fontId="6" fillId="18" borderId="39" xfId="0" applyFont="1" applyFill="1" applyBorder="1" applyAlignment="1">
      <alignment horizontal="left" vertical="center" indent="1"/>
    </xf>
    <xf numFmtId="0" fontId="0" fillId="5" borderId="0" xfId="0" applyFill="1" applyBorder="1"/>
    <xf numFmtId="0" fontId="10" fillId="5" borderId="0" xfId="0" applyFont="1" applyFill="1" applyBorder="1" applyAlignment="1">
      <alignment horizontal="left" vertical="center"/>
    </xf>
    <xf numFmtId="0" fontId="47" fillId="40" borderId="20" xfId="0" applyFont="1" applyFill="1" applyBorder="1" applyAlignment="1">
      <alignment horizontal="left" vertical="center"/>
    </xf>
    <xf numFmtId="0" fontId="10" fillId="40" borderId="0" xfId="0" applyFont="1" applyFill="1" applyBorder="1" applyAlignment="1">
      <alignment horizontal="left" vertical="center"/>
    </xf>
    <xf numFmtId="0" fontId="10" fillId="40" borderId="20" xfId="0" applyFont="1" applyFill="1" applyBorder="1" applyAlignment="1">
      <alignment horizontal="left" vertical="center"/>
    </xf>
    <xf numFmtId="0" fontId="39" fillId="38" borderId="22" xfId="0" applyFont="1" applyFill="1" applyBorder="1" applyAlignment="1">
      <alignment horizontal="left" vertical="center"/>
    </xf>
    <xf numFmtId="0" fontId="44" fillId="38" borderId="16" xfId="0" applyFont="1" applyFill="1" applyBorder="1" applyAlignment="1">
      <alignment horizontal="left" vertical="center"/>
    </xf>
    <xf numFmtId="0" fontId="45" fillId="25" borderId="20" xfId="0" applyFont="1" applyFill="1" applyBorder="1" applyAlignment="1">
      <alignment horizontal="left" vertical="center"/>
    </xf>
    <xf numFmtId="0" fontId="46" fillId="35" borderId="20" xfId="0" applyFont="1" applyFill="1" applyBorder="1" applyAlignment="1">
      <alignment horizontal="left" vertical="center"/>
    </xf>
    <xf numFmtId="0" fontId="6" fillId="16" borderId="38" xfId="0" applyFont="1" applyFill="1" applyBorder="1" applyAlignment="1">
      <alignment horizontal="left" vertical="center" indent="1"/>
    </xf>
    <xf numFmtId="0" fontId="7" fillId="16" borderId="37" xfId="0" applyFont="1" applyFill="1" applyBorder="1" applyAlignment="1">
      <alignment horizontal="left" vertical="center" indent="1"/>
    </xf>
    <xf numFmtId="0" fontId="11" fillId="11" borderId="37" xfId="0" applyFont="1" applyFill="1" applyBorder="1" applyAlignment="1">
      <alignment horizontal="left" vertical="center" wrapText="1"/>
    </xf>
    <xf numFmtId="0" fontId="0" fillId="15" borderId="0" xfId="0" applyFill="1" applyBorder="1"/>
    <xf numFmtId="0" fontId="0" fillId="4" borderId="2" xfId="0" applyFill="1" applyBorder="1"/>
    <xf numFmtId="0" fontId="47" fillId="41" borderId="20" xfId="0" applyFont="1" applyFill="1" applyBorder="1" applyAlignment="1">
      <alignment horizontal="left" vertical="center"/>
    </xf>
    <xf numFmtId="0" fontId="6" fillId="41" borderId="20" xfId="0" applyFont="1" applyFill="1" applyBorder="1" applyAlignment="1">
      <alignment horizontal="left" vertical="center" indent="1"/>
    </xf>
    <xf numFmtId="0" fontId="6" fillId="15" borderId="40" xfId="0" applyFont="1" applyFill="1" applyBorder="1" applyAlignment="1">
      <alignment horizontal="left" vertical="center" indent="1"/>
    </xf>
    <xf numFmtId="0" fontId="7" fillId="41" borderId="20" xfId="0" applyFont="1" applyFill="1" applyBorder="1" applyAlignment="1">
      <alignment horizontal="left" vertical="center" indent="1"/>
    </xf>
    <xf numFmtId="0" fontId="7" fillId="15" borderId="33" xfId="0" applyFont="1" applyFill="1" applyBorder="1" applyAlignment="1">
      <alignment horizontal="left" vertical="center" indent="1"/>
    </xf>
    <xf numFmtId="0" fontId="11" fillId="41" borderId="20" xfId="0" applyFont="1" applyFill="1" applyBorder="1" applyAlignment="1">
      <alignment horizontal="left" vertical="center" wrapText="1"/>
    </xf>
    <xf numFmtId="0" fontId="9" fillId="41" borderId="0" xfId="0" applyFont="1" applyFill="1" applyBorder="1" applyAlignment="1">
      <alignment horizontal="left" vertical="center"/>
    </xf>
    <xf numFmtId="0" fontId="12" fillId="41" borderId="0" xfId="0" applyFont="1" applyFill="1" applyBorder="1" applyAlignment="1">
      <alignment horizontal="center" vertical="center"/>
    </xf>
    <xf numFmtId="9" fontId="38" fillId="41" borderId="0" xfId="0" applyNumberFormat="1" applyFont="1" applyFill="1" applyBorder="1" applyAlignment="1">
      <alignment horizontal="center" vertical="center"/>
    </xf>
    <xf numFmtId="0" fontId="39" fillId="39" borderId="18" xfId="0" applyFont="1" applyFill="1" applyBorder="1" applyAlignment="1">
      <alignment horizontal="left" vertical="center" indent="1"/>
    </xf>
    <xf numFmtId="0" fontId="39" fillId="39" borderId="19" xfId="0" applyFont="1" applyFill="1" applyBorder="1" applyAlignment="1">
      <alignment horizontal="left" vertical="center" indent="1"/>
    </xf>
    <xf numFmtId="0" fontId="40" fillId="39" borderId="16" xfId="0" applyFont="1" applyFill="1" applyBorder="1" applyAlignment="1">
      <alignment horizontal="left" vertical="center" indent="1"/>
    </xf>
    <xf numFmtId="0" fontId="40" fillId="39" borderId="17" xfId="0" applyFont="1" applyFill="1" applyBorder="1" applyAlignment="1">
      <alignment horizontal="left" vertical="center" indent="1"/>
    </xf>
    <xf numFmtId="0" fontId="10" fillId="4" borderId="32" xfId="0" applyFont="1" applyFill="1" applyBorder="1" applyAlignment="1">
      <alignment horizontal="left" vertical="center"/>
    </xf>
    <xf numFmtId="0" fontId="10" fillId="40" borderId="36" xfId="0" applyFont="1" applyFill="1" applyBorder="1" applyAlignment="1">
      <alignment horizontal="left" vertical="center"/>
    </xf>
    <xf numFmtId="49" fontId="5" fillId="15" borderId="4" xfId="0" applyNumberFormat="1" applyFont="1" applyFill="1" applyBorder="1" applyAlignment="1">
      <alignment horizontal="center" vertical="center"/>
    </xf>
    <xf numFmtId="49" fontId="36" fillId="38" borderId="17" xfId="0" applyNumberFormat="1" applyFont="1" applyFill="1" applyBorder="1" applyAlignment="1">
      <alignment horizontal="center" vertical="center"/>
    </xf>
    <xf numFmtId="49" fontId="36" fillId="39" borderId="16" xfId="0" applyNumberFormat="1" applyFont="1" applyFill="1" applyBorder="1" applyAlignment="1">
      <alignment horizontal="center" vertical="center"/>
    </xf>
    <xf numFmtId="49" fontId="36" fillId="39" borderId="17" xfId="0" applyNumberFormat="1" applyFont="1" applyFill="1" applyBorder="1" applyAlignment="1">
      <alignment horizontal="center" vertical="center"/>
    </xf>
    <xf numFmtId="49" fontId="5" fillId="15" borderId="33" xfId="0" applyNumberFormat="1" applyFont="1" applyFill="1" applyBorder="1" applyAlignment="1">
      <alignment horizontal="center" vertical="center"/>
    </xf>
    <xf numFmtId="49" fontId="5" fillId="16" borderId="4" xfId="0" applyNumberFormat="1" applyFont="1" applyFill="1" applyBorder="1" applyAlignment="1">
      <alignment horizontal="center" vertical="center"/>
    </xf>
    <xf numFmtId="49" fontId="42" fillId="38" borderId="16" xfId="0" applyNumberFormat="1" applyFont="1" applyFill="1" applyBorder="1" applyAlignment="1">
      <alignment horizontal="center" vertical="center"/>
    </xf>
    <xf numFmtId="49" fontId="42" fillId="38" borderId="17" xfId="0" applyNumberFormat="1" applyFont="1" applyFill="1" applyBorder="1" applyAlignment="1">
      <alignment horizontal="center" vertical="center"/>
    </xf>
    <xf numFmtId="49" fontId="5" fillId="16" borderId="37" xfId="0" applyNumberFormat="1" applyFont="1" applyFill="1" applyBorder="1" applyAlignment="1">
      <alignment horizontal="center" vertical="center"/>
    </xf>
    <xf numFmtId="49" fontId="5" fillId="16" borderId="33" xfId="0" applyNumberFormat="1" applyFont="1" applyFill="1" applyBorder="1" applyAlignment="1">
      <alignment horizontal="center" vertical="center"/>
    </xf>
    <xf numFmtId="49" fontId="5" fillId="19" borderId="4" xfId="0" applyNumberFormat="1" applyFont="1" applyFill="1" applyBorder="1" applyAlignment="1">
      <alignment horizontal="center" vertical="center"/>
    </xf>
    <xf numFmtId="49" fontId="5" fillId="19" borderId="33" xfId="0" applyNumberFormat="1" applyFont="1" applyFill="1" applyBorder="1" applyAlignment="1">
      <alignment horizontal="center" vertical="center"/>
    </xf>
    <xf numFmtId="49" fontId="36" fillId="37" borderId="16" xfId="0" applyNumberFormat="1" applyFont="1" applyFill="1" applyBorder="1" applyAlignment="1">
      <alignment horizontal="center" vertical="center"/>
    </xf>
    <xf numFmtId="49" fontId="36" fillId="37" borderId="17" xfId="0" applyNumberFormat="1" applyFont="1" applyFill="1" applyBorder="1" applyAlignment="1">
      <alignment horizontal="center" vertical="center"/>
    </xf>
    <xf numFmtId="49" fontId="10" fillId="6" borderId="32" xfId="0" applyNumberFormat="1" applyFont="1" applyFill="1" applyBorder="1" applyAlignment="1">
      <alignment horizontal="left" vertical="center"/>
    </xf>
    <xf numFmtId="49" fontId="5" fillId="20" borderId="4" xfId="0" applyNumberFormat="1" applyFont="1" applyFill="1" applyBorder="1" applyAlignment="1">
      <alignment horizontal="center" vertical="center"/>
    </xf>
    <xf numFmtId="49" fontId="10" fillId="7" borderId="2" xfId="0" applyNumberFormat="1" applyFont="1" applyFill="1" applyBorder="1" applyAlignment="1">
      <alignment horizontal="left" vertical="center"/>
    </xf>
    <xf numFmtId="49" fontId="5" fillId="21" borderId="4" xfId="0" applyNumberFormat="1" applyFont="1" applyFill="1" applyBorder="1" applyAlignment="1">
      <alignment horizontal="center" vertical="center"/>
    </xf>
    <xf numFmtId="49" fontId="5" fillId="18" borderId="4" xfId="0" applyNumberFormat="1" applyFont="1" applyFill="1" applyBorder="1" applyAlignment="1">
      <alignment horizontal="center" vertical="center"/>
    </xf>
    <xf numFmtId="49" fontId="0" fillId="2" borderId="2" xfId="0" applyNumberFormat="1" applyFill="1" applyBorder="1"/>
    <xf numFmtId="49" fontId="4" fillId="9" borderId="2" xfId="0" applyNumberFormat="1" applyFont="1" applyFill="1" applyBorder="1" applyAlignment="1">
      <alignment horizontal="left" vertical="center"/>
    </xf>
    <xf numFmtId="49" fontId="10" fillId="9" borderId="2" xfId="0" applyNumberFormat="1" applyFont="1" applyFill="1" applyBorder="1" applyAlignment="1">
      <alignment horizontal="left" vertical="center"/>
    </xf>
    <xf numFmtId="49" fontId="5" fillId="10" borderId="4" xfId="0" applyNumberFormat="1" applyFont="1" applyFill="1" applyBorder="1" applyAlignment="1">
      <alignment horizontal="center" vertical="center"/>
    </xf>
    <xf numFmtId="49" fontId="5" fillId="12" borderId="4" xfId="0" applyNumberFormat="1" applyFont="1" applyFill="1" applyBorder="1" applyAlignment="1">
      <alignment horizontal="center" vertical="center"/>
    </xf>
  </cellXfs>
  <cellStyles count="1">
    <cellStyle name="Normal" xfId="0" builtinId="0"/>
  </cellStyles>
  <dxfs count="243">
    <dxf>
      <font>
        <color rgb="FFDC2626"/>
      </font>
      <fill>
        <patternFill patternType="solid">
          <fgColor indexed="64"/>
          <bgColor rgb="FFFEE2E2"/>
        </patternFill>
      </fill>
    </dxf>
    <dxf>
      <font>
        <color rgb="FFB45309"/>
      </font>
      <fill>
        <patternFill patternType="solid">
          <fgColor indexed="64"/>
          <bgColor rgb="FFFEF3C7"/>
        </patternFill>
      </fill>
    </dxf>
    <dxf>
      <font>
        <color rgb="FF15803D"/>
      </font>
      <fill>
        <patternFill patternType="solid">
          <fgColor indexed="64"/>
          <bgColor rgb="FFDCFCE7"/>
        </patternFill>
      </fill>
    </dxf>
    <dxf>
      <font>
        <b/>
        <i val="0"/>
        <color rgb="FFFFFFFF"/>
      </font>
      <fill>
        <patternFill patternType="solid">
          <fgColor indexed="64"/>
          <bgColor rgb="FFB45309"/>
        </patternFill>
      </fill>
    </dxf>
    <dxf>
      <font>
        <b/>
        <i val="0"/>
        <color rgb="FFFFFFFF"/>
      </font>
      <fill>
        <patternFill patternType="solid">
          <fgColor indexed="64"/>
          <bgColor rgb="FFDC2626"/>
        </patternFill>
      </fill>
    </dxf>
    <dxf>
      <font>
        <b/>
        <i val="0"/>
        <color rgb="FFFFFFFF"/>
      </font>
      <fill>
        <patternFill patternType="solid">
          <fgColor indexed="64"/>
          <bgColor rgb="FF15803D"/>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
      <font>
        <color rgb="FF1976D2"/>
      </font>
      <fill>
        <patternFill patternType="solid">
          <fgColor indexed="64"/>
          <bgColor rgb="FFEFF6FF"/>
        </patternFill>
      </fill>
    </dxf>
    <dxf>
      <font>
        <color rgb="FFB45309"/>
      </font>
      <fill>
        <patternFill patternType="solid">
          <fgColor indexed="64"/>
          <bgColor rgb="FFFEF3C7"/>
        </patternFill>
      </fill>
    </dxf>
    <dxf>
      <font>
        <b/>
        <i val="0"/>
        <color rgb="FF15803D"/>
      </font>
      <fill>
        <patternFill patternType="solid">
          <fgColor indexed="64"/>
          <bgColor rgb="FFDCFCE7"/>
        </patternFill>
      </fill>
    </dxf>
  </dxfs>
  <tableStyles count="0" defaultTableStyle="TableStyleMedium2" defaultPivotStyle="PivotStyleLight16"/>
  <colors>
    <indexedColors>
      <rgbColor rgb="FF000000"/>
      <rgbColor rgb="FFFFFFFF"/>
      <rgbColor rgb="FFFF0000"/>
      <rgbColor rgb="FF00FF00"/>
      <rgbColor rgb="FF0000FF"/>
      <rgbColor rgb="FFF1F5F9"/>
      <rgbColor rgb="FFFF00FF"/>
      <rgbColor rgb="FF00FFFF"/>
      <rgbColor rgb="FF800000"/>
      <rgbColor rgb="FF15803D"/>
      <rgbColor rgb="FF000080"/>
      <rgbColor rgb="FF808000"/>
      <rgbColor rgb="FF800080"/>
      <rgbColor rgb="FF0E7490"/>
      <rgbColor rgb="FFE5E7EB"/>
      <rgbColor rgb="FF808080"/>
      <rgbColor rgb="FFF0F4FF"/>
      <rgbColor rgb="FF7C3AED"/>
      <rgbColor rgb="FFFEF3C7"/>
      <rgbColor rgb="FFCFFAFE"/>
      <rgbColor rgb="FF660066"/>
      <rgbColor rgb="FFFF8080"/>
      <rgbColor rgb="FF1976D2"/>
      <rgbColor rgb="FFD1D5DB"/>
      <rgbColor rgb="FF000080"/>
      <rgbColor rgb="FFFF00FF"/>
      <rgbColor rgb="FFF8FAFC"/>
      <rgbColor rgb="FF00FFFF"/>
      <rgbColor rgb="FF800080"/>
      <rgbColor rgb="FF800000"/>
      <rgbColor rgb="FF0D9488"/>
      <rgbColor rgb="FF0000FF"/>
      <rgbColor rgb="FF00CCFF"/>
      <rgbColor rgb="FFDCFCE7"/>
      <rgbColor rgb="FFE0F2F1"/>
      <rgbColor rgb="FFFFEDD5"/>
      <rgbColor rgb="FFE0E7FF"/>
      <rgbColor rgb="FFE3F2FD"/>
      <rgbColor rgb="FFE2E8F0"/>
      <rgbColor rgb="FFF3E5F5"/>
      <rgbColor rgb="FF3366FF"/>
      <rgbColor rgb="FF33CCCC"/>
      <rgbColor rgb="FF99CC00"/>
      <rgbColor rgb="FFFFCC00"/>
      <rgbColor rgb="FFFF9900"/>
      <rgbColor rgb="FFD97706"/>
      <rgbColor rgb="FF64748B"/>
      <rgbColor rgb="FF969696"/>
      <rgbColor rgb="FF334155"/>
      <rgbColor rgb="FF339966"/>
      <rgbColor rgb="FF0B1120"/>
      <rgbColor rgb="FF374151"/>
      <rgbColor rgb="FFC2410C"/>
      <rgbColor rgb="FF993366"/>
      <rgbColor rgb="FF312E81"/>
      <rgbColor rgb="FF1E293B"/>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79"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AEBBEE6-7F9A-4D3A-9EAC-9ABED81F37E6}">
  <we:reference id="wa200009404" version="1.0.0.8" store="en-US" storeType="OMEX"/>
  <we:alternateReferences>
    <we:reference id="wa200009404" version="1.0.0.8" store="en-US"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35"/>
  <sheetViews>
    <sheetView showGridLines="0" zoomScaleNormal="100" workbookViewId="0">
      <pane ySplit="3" topLeftCell="A4" activePane="bottomLeft" state="frozen"/>
      <selection pane="bottomLeft" activeCell="B32" sqref="B32:AH32"/>
    </sheetView>
  </sheetViews>
  <sheetFormatPr defaultColWidth="8.6328125" defaultRowHeight="14.5" outlineLevelRow="3" x14ac:dyDescent="0.35"/>
  <cols>
    <col min="1" max="1" width="1.81640625" customWidth="1"/>
    <col min="2" max="2" width="5.08984375" customWidth="1"/>
    <col min="3" max="3" width="8.1796875" customWidth="1"/>
    <col min="4" max="4" width="10" customWidth="1"/>
    <col min="5" max="5" width="81.81640625" customWidth="1"/>
    <col min="6" max="6" width="5.81640625" customWidth="1"/>
    <col min="7" max="7" width="9.453125" customWidth="1"/>
    <col min="8" max="8" width="6.36328125" customWidth="1"/>
    <col min="9" max="34" width="4.36328125" customWidth="1"/>
  </cols>
  <sheetData>
    <row r="1" spans="1:34" ht="37.5" customHeight="1" x14ac:dyDescent="0.35">
      <c r="A1" s="13" t="s">
        <v>310</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row>
    <row r="2" spans="1:34" ht="15.75" customHeight="1" x14ac:dyDescent="0.35">
      <c r="A2" s="14"/>
      <c r="B2" s="14"/>
      <c r="C2" s="14"/>
      <c r="D2" s="14"/>
      <c r="E2" s="14"/>
      <c r="F2" s="14"/>
      <c r="G2" s="14"/>
      <c r="H2" s="132"/>
      <c r="I2" s="12" t="s">
        <v>0</v>
      </c>
      <c r="J2" s="12"/>
      <c r="K2" s="12"/>
      <c r="L2" s="12"/>
      <c r="M2" s="11" t="s">
        <v>1</v>
      </c>
      <c r="N2" s="11"/>
      <c r="O2" s="11"/>
      <c r="P2" s="11"/>
      <c r="Q2" s="10" t="s">
        <v>2</v>
      </c>
      <c r="R2" s="10"/>
      <c r="S2" s="10"/>
      <c r="T2" s="10"/>
      <c r="U2" s="9" t="s">
        <v>3</v>
      </c>
      <c r="V2" s="9"/>
      <c r="W2" s="9"/>
      <c r="X2" s="9"/>
      <c r="Y2" s="8" t="s">
        <v>4</v>
      </c>
      <c r="Z2" s="8"/>
      <c r="AA2" s="8"/>
      <c r="AB2" s="8"/>
      <c r="AC2" s="7" t="s">
        <v>5</v>
      </c>
      <c r="AD2" s="7"/>
      <c r="AE2" s="7"/>
      <c r="AF2" s="7"/>
      <c r="AG2" s="7"/>
      <c r="AH2" s="7"/>
    </row>
    <row r="3" spans="1:34" ht="12.75" customHeight="1" x14ac:dyDescent="0.35">
      <c r="A3" s="15"/>
      <c r="B3" s="15" t="s">
        <v>6</v>
      </c>
      <c r="C3" s="16" t="s">
        <v>7</v>
      </c>
      <c r="D3" s="16" t="s">
        <v>8</v>
      </c>
      <c r="E3" s="16" t="s">
        <v>9</v>
      </c>
      <c r="F3" s="16" t="s">
        <v>10</v>
      </c>
      <c r="G3" s="135" t="s">
        <v>11</v>
      </c>
      <c r="H3" s="134" t="s">
        <v>230</v>
      </c>
      <c r="I3" s="136" t="s">
        <v>12</v>
      </c>
      <c r="J3" s="17" t="s">
        <v>13</v>
      </c>
      <c r="K3" s="17" t="s">
        <v>14</v>
      </c>
      <c r="L3" s="17" t="s">
        <v>15</v>
      </c>
      <c r="M3" s="17" t="s">
        <v>16</v>
      </c>
      <c r="N3" s="17" t="s">
        <v>17</v>
      </c>
      <c r="O3" s="17" t="s">
        <v>18</v>
      </c>
      <c r="P3" s="17" t="s">
        <v>19</v>
      </c>
      <c r="Q3" s="17" t="s">
        <v>20</v>
      </c>
      <c r="R3" s="17" t="s">
        <v>21</v>
      </c>
      <c r="S3" s="17" t="s">
        <v>22</v>
      </c>
      <c r="T3" s="17" t="s">
        <v>23</v>
      </c>
      <c r="U3" s="18" t="s">
        <v>24</v>
      </c>
      <c r="V3" s="18" t="s">
        <v>25</v>
      </c>
      <c r="W3" s="18" t="s">
        <v>26</v>
      </c>
      <c r="X3" s="18" t="s">
        <v>27</v>
      </c>
      <c r="Y3" s="18" t="s">
        <v>28</v>
      </c>
      <c r="Z3" s="18" t="s">
        <v>29</v>
      </c>
      <c r="AA3" s="18" t="s">
        <v>30</v>
      </c>
      <c r="AB3" s="18" t="s">
        <v>31</v>
      </c>
      <c r="AC3" s="18" t="s">
        <v>32</v>
      </c>
      <c r="AD3" s="18" t="s">
        <v>33</v>
      </c>
      <c r="AE3" s="18" t="s">
        <v>34</v>
      </c>
      <c r="AF3" s="18" t="s">
        <v>35</v>
      </c>
      <c r="AG3" s="18" t="s">
        <v>36</v>
      </c>
      <c r="AH3" s="18" t="s">
        <v>37</v>
      </c>
    </row>
    <row r="4" spans="1:34" ht="18" customHeight="1" x14ac:dyDescent="0.35">
      <c r="A4" s="5" t="s">
        <v>214</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row>
    <row r="5" spans="1:34" ht="15" hidden="1" customHeight="1" outlineLevel="1" x14ac:dyDescent="0.35">
      <c r="A5" s="33"/>
      <c r="B5" s="4" t="s">
        <v>56</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row>
    <row r="6" spans="1:34" ht="16.5" hidden="1" customHeight="1" outlineLevel="2" x14ac:dyDescent="0.35">
      <c r="A6" s="34"/>
      <c r="B6" s="209" t="s">
        <v>57</v>
      </c>
      <c r="C6" s="35" t="s">
        <v>58</v>
      </c>
      <c r="D6" s="36" t="s">
        <v>59</v>
      </c>
      <c r="E6" s="37" t="s">
        <v>242</v>
      </c>
      <c r="F6" s="23" t="s">
        <v>60</v>
      </c>
      <c r="G6" s="38" t="s">
        <v>61</v>
      </c>
      <c r="H6" s="137">
        <v>0</v>
      </c>
      <c r="I6" s="33"/>
      <c r="J6" s="33"/>
      <c r="K6" s="24"/>
      <c r="L6" s="24"/>
      <c r="M6" s="24"/>
      <c r="N6" s="24"/>
      <c r="O6" s="24"/>
      <c r="P6" s="24"/>
      <c r="Q6" s="24"/>
      <c r="R6" s="24"/>
      <c r="S6" s="24"/>
      <c r="T6" s="24"/>
      <c r="U6" s="26"/>
      <c r="V6" s="26"/>
      <c r="W6" s="26"/>
      <c r="X6" s="26"/>
      <c r="Y6" s="26"/>
      <c r="Z6" s="26"/>
      <c r="AA6" s="26"/>
      <c r="AB6" s="26"/>
      <c r="AC6" s="26"/>
      <c r="AD6" s="26"/>
      <c r="AE6" s="26"/>
      <c r="AF6" s="26"/>
      <c r="AG6" s="26"/>
      <c r="AH6" s="26"/>
    </row>
    <row r="7" spans="1:34" ht="16.5" hidden="1" customHeight="1" outlineLevel="2" x14ac:dyDescent="0.35">
      <c r="A7" s="34"/>
      <c r="B7" s="209" t="s">
        <v>62</v>
      </c>
      <c r="C7" s="35" t="s">
        <v>58</v>
      </c>
      <c r="D7" s="36" t="s">
        <v>59</v>
      </c>
      <c r="E7" s="37" t="s">
        <v>243</v>
      </c>
      <c r="F7" s="23" t="s">
        <v>63</v>
      </c>
      <c r="G7" s="38" t="s">
        <v>61</v>
      </c>
      <c r="H7" s="137">
        <v>0</v>
      </c>
      <c r="I7" s="33"/>
      <c r="J7" s="33"/>
      <c r="K7" s="24"/>
      <c r="L7" s="24"/>
      <c r="M7" s="24"/>
      <c r="N7" s="24"/>
      <c r="O7" s="24"/>
      <c r="P7" s="24"/>
      <c r="Q7" s="24"/>
      <c r="R7" s="24"/>
      <c r="S7" s="24"/>
      <c r="T7" s="24"/>
      <c r="U7" s="26"/>
      <c r="V7" s="26"/>
      <c r="W7" s="26"/>
      <c r="X7" s="26"/>
      <c r="Y7" s="26"/>
      <c r="Z7" s="26"/>
      <c r="AA7" s="26"/>
      <c r="AB7" s="26"/>
      <c r="AC7" s="26"/>
      <c r="AD7" s="26"/>
      <c r="AE7" s="26"/>
      <c r="AF7" s="26"/>
      <c r="AG7" s="26"/>
      <c r="AH7" s="26"/>
    </row>
    <row r="8" spans="1:34" ht="16.5" hidden="1" customHeight="1" outlineLevel="2" x14ac:dyDescent="0.35">
      <c r="A8" s="34"/>
      <c r="B8" s="209" t="s">
        <v>64</v>
      </c>
      <c r="C8" s="35" t="s">
        <v>58</v>
      </c>
      <c r="D8" s="36" t="s">
        <v>59</v>
      </c>
      <c r="E8" s="37" t="s">
        <v>244</v>
      </c>
      <c r="F8" s="23" t="s">
        <v>60</v>
      </c>
      <c r="G8" s="38" t="s">
        <v>61</v>
      </c>
      <c r="H8" s="137">
        <v>0</v>
      </c>
      <c r="I8" s="24"/>
      <c r="J8" s="33"/>
      <c r="K8" s="33"/>
      <c r="L8" s="24"/>
      <c r="M8" s="24"/>
      <c r="N8" s="24"/>
      <c r="O8" s="24"/>
      <c r="P8" s="24"/>
      <c r="Q8" s="24"/>
      <c r="R8" s="24"/>
      <c r="S8" s="24"/>
      <c r="T8" s="24"/>
      <c r="U8" s="26"/>
      <c r="V8" s="26"/>
      <c r="W8" s="26"/>
      <c r="X8" s="26"/>
      <c r="Y8" s="26"/>
      <c r="Z8" s="26"/>
      <c r="AA8" s="26"/>
      <c r="AB8" s="26"/>
      <c r="AC8" s="26"/>
      <c r="AD8" s="26"/>
      <c r="AE8" s="26"/>
      <c r="AF8" s="26"/>
      <c r="AG8" s="26"/>
      <c r="AH8" s="26"/>
    </row>
    <row r="9" spans="1:34" ht="16.5" hidden="1" customHeight="1" outlineLevel="2" x14ac:dyDescent="0.35">
      <c r="A9" s="34"/>
      <c r="B9" s="209" t="s">
        <v>65</v>
      </c>
      <c r="C9" s="35" t="s">
        <v>58</v>
      </c>
      <c r="D9" s="36" t="s">
        <v>59</v>
      </c>
      <c r="E9" s="37" t="s">
        <v>245</v>
      </c>
      <c r="F9" s="23" t="s">
        <v>60</v>
      </c>
      <c r="G9" s="38" t="s">
        <v>61</v>
      </c>
      <c r="H9" s="137">
        <v>0</v>
      </c>
      <c r="I9" s="24"/>
      <c r="J9" s="33"/>
      <c r="K9" s="33"/>
      <c r="L9" s="24"/>
      <c r="M9" s="24"/>
      <c r="N9" s="24"/>
      <c r="O9" s="24"/>
      <c r="P9" s="24"/>
      <c r="Q9" s="24"/>
      <c r="R9" s="24"/>
      <c r="S9" s="24"/>
      <c r="T9" s="24"/>
      <c r="U9" s="26"/>
      <c r="V9" s="26"/>
      <c r="W9" s="26"/>
      <c r="X9" s="26"/>
      <c r="Y9" s="26"/>
      <c r="Z9" s="26"/>
      <c r="AA9" s="26"/>
      <c r="AB9" s="26"/>
      <c r="AC9" s="26"/>
      <c r="AD9" s="26"/>
      <c r="AE9" s="26"/>
      <c r="AF9" s="26"/>
      <c r="AG9" s="26"/>
      <c r="AH9" s="26"/>
    </row>
    <row r="10" spans="1:34" ht="16.5" hidden="1" customHeight="1" outlineLevel="2" x14ac:dyDescent="0.35">
      <c r="A10" s="34"/>
      <c r="B10" s="209" t="s">
        <v>66</v>
      </c>
      <c r="C10" s="35" t="s">
        <v>58</v>
      </c>
      <c r="D10" s="36" t="s">
        <v>59</v>
      </c>
      <c r="E10" s="37" t="s">
        <v>246</v>
      </c>
      <c r="F10" s="23" t="s">
        <v>60</v>
      </c>
      <c r="G10" s="38" t="s">
        <v>61</v>
      </c>
      <c r="H10" s="137">
        <v>0</v>
      </c>
      <c r="I10" s="24"/>
      <c r="J10" s="24"/>
      <c r="K10" s="33"/>
      <c r="L10" s="33"/>
      <c r="M10" s="24"/>
      <c r="N10" s="24"/>
      <c r="O10" s="24"/>
      <c r="P10" s="24"/>
      <c r="Q10" s="24"/>
      <c r="R10" s="24"/>
      <c r="S10" s="24"/>
      <c r="T10" s="24"/>
      <c r="U10" s="26"/>
      <c r="V10" s="26"/>
      <c r="W10" s="26"/>
      <c r="X10" s="26"/>
      <c r="Y10" s="26"/>
      <c r="Z10" s="26"/>
      <c r="AA10" s="26"/>
      <c r="AB10" s="26"/>
      <c r="AC10" s="26"/>
      <c r="AD10" s="26"/>
      <c r="AE10" s="26"/>
      <c r="AF10" s="26"/>
      <c r="AG10" s="26"/>
      <c r="AH10" s="26"/>
    </row>
    <row r="11" spans="1:34" ht="16.5" hidden="1" customHeight="1" outlineLevel="2" x14ac:dyDescent="0.35">
      <c r="A11" s="34"/>
      <c r="B11" s="209" t="s">
        <v>67</v>
      </c>
      <c r="C11" s="35" t="s">
        <v>58</v>
      </c>
      <c r="D11" s="36" t="s">
        <v>59</v>
      </c>
      <c r="E11" s="37" t="s">
        <v>68</v>
      </c>
      <c r="F11" s="23" t="s">
        <v>63</v>
      </c>
      <c r="G11" s="38" t="s">
        <v>61</v>
      </c>
      <c r="H11" s="137">
        <v>0</v>
      </c>
      <c r="I11" s="24"/>
      <c r="J11" s="33"/>
      <c r="K11" s="33"/>
      <c r="L11" s="24"/>
      <c r="M11" s="24"/>
      <c r="N11" s="24"/>
      <c r="O11" s="24"/>
      <c r="P11" s="24"/>
      <c r="Q11" s="24"/>
      <c r="R11" s="24"/>
      <c r="S11" s="24"/>
      <c r="T11" s="24"/>
      <c r="U11" s="26"/>
      <c r="V11" s="26"/>
      <c r="W11" s="26"/>
      <c r="X11" s="26"/>
      <c r="Y11" s="26"/>
      <c r="Z11" s="26"/>
      <c r="AA11" s="26"/>
      <c r="AB11" s="26"/>
      <c r="AC11" s="26"/>
      <c r="AD11" s="26"/>
      <c r="AE11" s="26"/>
      <c r="AF11" s="26"/>
      <c r="AG11" s="26"/>
      <c r="AH11" s="26"/>
    </row>
    <row r="12" spans="1:34" ht="16.5" hidden="1" customHeight="1" outlineLevel="2" x14ac:dyDescent="0.35">
      <c r="A12" s="34"/>
      <c r="B12" s="209" t="s">
        <v>69</v>
      </c>
      <c r="C12" s="35" t="s">
        <v>58</v>
      </c>
      <c r="D12" s="36" t="s">
        <v>59</v>
      </c>
      <c r="E12" s="37" t="s">
        <v>247</v>
      </c>
      <c r="F12" s="23" t="s">
        <v>60</v>
      </c>
      <c r="G12" s="38" t="s">
        <v>61</v>
      </c>
      <c r="H12" s="137">
        <v>0</v>
      </c>
      <c r="I12" s="24"/>
      <c r="J12" s="24"/>
      <c r="K12" s="24"/>
      <c r="L12" s="33"/>
      <c r="M12" s="24"/>
      <c r="N12" s="24"/>
      <c r="O12" s="24"/>
      <c r="P12" s="24"/>
      <c r="Q12" s="24"/>
      <c r="R12" s="24"/>
      <c r="S12" s="24"/>
      <c r="T12" s="24"/>
      <c r="U12" s="26"/>
      <c r="V12" s="26"/>
      <c r="W12" s="26"/>
      <c r="X12" s="26"/>
      <c r="Y12" s="26"/>
      <c r="Z12" s="26"/>
      <c r="AA12" s="26"/>
      <c r="AB12" s="26"/>
      <c r="AC12" s="26"/>
      <c r="AD12" s="26"/>
      <c r="AE12" s="26"/>
      <c r="AF12" s="26"/>
      <c r="AG12" s="26"/>
      <c r="AH12" s="26"/>
    </row>
    <row r="13" spans="1:34" ht="15" hidden="1" customHeight="1" outlineLevel="1" x14ac:dyDescent="0.35">
      <c r="A13" s="33"/>
      <c r="B13" s="4" t="s">
        <v>70</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row>
    <row r="14" spans="1:34" ht="16.5" hidden="1" customHeight="1" outlineLevel="2" x14ac:dyDescent="0.35">
      <c r="A14" s="34"/>
      <c r="B14" s="209" t="s">
        <v>71</v>
      </c>
      <c r="C14" s="35" t="s">
        <v>58</v>
      </c>
      <c r="D14" s="36" t="s">
        <v>72</v>
      </c>
      <c r="E14" s="37" t="s">
        <v>248</v>
      </c>
      <c r="F14" s="23" t="s">
        <v>60</v>
      </c>
      <c r="G14" s="39" t="s">
        <v>73</v>
      </c>
      <c r="H14" s="137">
        <v>0.25</v>
      </c>
      <c r="I14" s="33"/>
      <c r="J14" s="33"/>
      <c r="K14" s="33"/>
      <c r="L14" s="24"/>
      <c r="M14" s="24"/>
      <c r="N14" s="24"/>
      <c r="O14" s="24"/>
      <c r="P14" s="24"/>
      <c r="Q14" s="24"/>
      <c r="R14" s="24"/>
      <c r="S14" s="24"/>
      <c r="T14" s="24"/>
      <c r="U14" s="26"/>
      <c r="V14" s="26"/>
      <c r="W14" s="26"/>
      <c r="X14" s="26"/>
      <c r="Y14" s="26"/>
      <c r="Z14" s="26"/>
      <c r="AA14" s="26"/>
      <c r="AB14" s="26"/>
      <c r="AC14" s="26"/>
      <c r="AD14" s="26"/>
      <c r="AE14" s="26"/>
      <c r="AF14" s="26"/>
      <c r="AG14" s="26"/>
      <c r="AH14" s="26"/>
    </row>
    <row r="15" spans="1:34" ht="16.5" hidden="1" customHeight="1" outlineLevel="2" x14ac:dyDescent="0.35">
      <c r="A15" s="34"/>
      <c r="B15" s="209" t="s">
        <v>74</v>
      </c>
      <c r="C15" s="35" t="s">
        <v>58</v>
      </c>
      <c r="D15" s="36" t="s">
        <v>72</v>
      </c>
      <c r="E15" s="37" t="s">
        <v>249</v>
      </c>
      <c r="F15" s="23" t="s">
        <v>60</v>
      </c>
      <c r="G15" s="38" t="s">
        <v>61</v>
      </c>
      <c r="H15" s="137">
        <v>0</v>
      </c>
      <c r="I15" s="24"/>
      <c r="J15" s="33"/>
      <c r="K15" s="33"/>
      <c r="L15" s="33"/>
      <c r="M15" s="24"/>
      <c r="N15" s="24"/>
      <c r="O15" s="24"/>
      <c r="P15" s="24"/>
      <c r="Q15" s="24"/>
      <c r="R15" s="24"/>
      <c r="S15" s="24"/>
      <c r="T15" s="24"/>
      <c r="U15" s="26"/>
      <c r="V15" s="26"/>
      <c r="W15" s="26"/>
      <c r="X15" s="26"/>
      <c r="Y15" s="26"/>
      <c r="Z15" s="26"/>
      <c r="AA15" s="26"/>
      <c r="AB15" s="26"/>
      <c r="AC15" s="26"/>
      <c r="AD15" s="26"/>
      <c r="AE15" s="26"/>
      <c r="AF15" s="26"/>
      <c r="AG15" s="26"/>
      <c r="AH15" s="26"/>
    </row>
    <row r="16" spans="1:34" ht="16.5" hidden="1" customHeight="1" outlineLevel="2" x14ac:dyDescent="0.35">
      <c r="A16" s="34"/>
      <c r="B16" s="209" t="s">
        <v>75</v>
      </c>
      <c r="C16" s="35" t="s">
        <v>58</v>
      </c>
      <c r="D16" s="36" t="s">
        <v>72</v>
      </c>
      <c r="E16" s="37" t="s">
        <v>250</v>
      </c>
      <c r="F16" s="23" t="s">
        <v>60</v>
      </c>
      <c r="G16" s="38" t="s">
        <v>61</v>
      </c>
      <c r="H16" s="137">
        <v>0</v>
      </c>
      <c r="I16" s="24"/>
      <c r="J16" s="33"/>
      <c r="K16" s="33"/>
      <c r="L16" s="24"/>
      <c r="M16" s="24"/>
      <c r="N16" s="24"/>
      <c r="O16" s="24"/>
      <c r="P16" s="24"/>
      <c r="Q16" s="24"/>
      <c r="R16" s="24"/>
      <c r="S16" s="24"/>
      <c r="T16" s="24"/>
      <c r="U16" s="26"/>
      <c r="V16" s="26"/>
      <c r="W16" s="26"/>
      <c r="X16" s="26"/>
      <c r="Y16" s="26"/>
      <c r="Z16" s="26"/>
      <c r="AA16" s="26"/>
      <c r="AB16" s="26"/>
      <c r="AC16" s="26"/>
      <c r="AD16" s="26"/>
      <c r="AE16" s="26"/>
      <c r="AF16" s="26"/>
      <c r="AG16" s="26"/>
      <c r="AH16" s="26"/>
    </row>
    <row r="17" spans="1:34" ht="16.5" hidden="1" customHeight="1" outlineLevel="2" x14ac:dyDescent="0.35">
      <c r="A17" s="34"/>
      <c r="B17" s="209" t="s">
        <v>76</v>
      </c>
      <c r="C17" s="35" t="s">
        <v>58</v>
      </c>
      <c r="D17" s="36" t="s">
        <v>72</v>
      </c>
      <c r="E17" s="37" t="s">
        <v>251</v>
      </c>
      <c r="F17" s="23" t="s">
        <v>60</v>
      </c>
      <c r="G17" s="38" t="s">
        <v>61</v>
      </c>
      <c r="H17" s="137">
        <v>0</v>
      </c>
      <c r="I17" s="24"/>
      <c r="J17" s="24"/>
      <c r="K17" s="33"/>
      <c r="L17" s="33"/>
      <c r="M17" s="24"/>
      <c r="N17" s="24"/>
      <c r="O17" s="24"/>
      <c r="P17" s="24"/>
      <c r="Q17" s="24"/>
      <c r="R17" s="24"/>
      <c r="S17" s="24"/>
      <c r="T17" s="24"/>
      <c r="U17" s="26"/>
      <c r="V17" s="26"/>
      <c r="W17" s="26"/>
      <c r="X17" s="26"/>
      <c r="Y17" s="26"/>
      <c r="Z17" s="26"/>
      <c r="AA17" s="26"/>
      <c r="AB17" s="26"/>
      <c r="AC17" s="26"/>
      <c r="AD17" s="26"/>
      <c r="AE17" s="26"/>
      <c r="AF17" s="26"/>
      <c r="AG17" s="26"/>
      <c r="AH17" s="26"/>
    </row>
    <row r="18" spans="1:34" ht="15" hidden="1" customHeight="1" outlineLevel="1" x14ac:dyDescent="0.35">
      <c r="A18" s="33"/>
      <c r="B18" s="4" t="s">
        <v>77</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row>
    <row r="19" spans="1:34" ht="16.5" hidden="1" customHeight="1" outlineLevel="2" x14ac:dyDescent="0.35">
      <c r="A19" s="34"/>
      <c r="B19" s="209" t="s">
        <v>78</v>
      </c>
      <c r="C19" s="35" t="s">
        <v>58</v>
      </c>
      <c r="D19" s="36" t="s">
        <v>79</v>
      </c>
      <c r="E19" s="37" t="s">
        <v>252</v>
      </c>
      <c r="F19" s="23" t="s">
        <v>63</v>
      </c>
      <c r="G19" s="38" t="s">
        <v>61</v>
      </c>
      <c r="H19" s="137">
        <v>0</v>
      </c>
      <c r="I19" s="33"/>
      <c r="J19" s="33"/>
      <c r="K19" s="24"/>
      <c r="L19" s="24"/>
      <c r="M19" s="24"/>
      <c r="N19" s="24"/>
      <c r="O19" s="24"/>
      <c r="P19" s="24"/>
      <c r="Q19" s="24"/>
      <c r="R19" s="24"/>
      <c r="S19" s="24"/>
      <c r="T19" s="24"/>
      <c r="U19" s="26"/>
      <c r="V19" s="26"/>
      <c r="W19" s="26"/>
      <c r="X19" s="26"/>
      <c r="Y19" s="26"/>
      <c r="Z19" s="26"/>
      <c r="AA19" s="26"/>
      <c r="AB19" s="26"/>
      <c r="AC19" s="26"/>
      <c r="AD19" s="26"/>
      <c r="AE19" s="26"/>
      <c r="AF19" s="26"/>
      <c r="AG19" s="26"/>
      <c r="AH19" s="26"/>
    </row>
    <row r="20" spans="1:34" ht="16.5" hidden="1" customHeight="1" outlineLevel="2" x14ac:dyDescent="0.35">
      <c r="A20" s="34"/>
      <c r="B20" s="209" t="s">
        <v>80</v>
      </c>
      <c r="C20" s="35" t="s">
        <v>58</v>
      </c>
      <c r="D20" s="36" t="s">
        <v>79</v>
      </c>
      <c r="E20" s="37" t="s">
        <v>253</v>
      </c>
      <c r="F20" s="23" t="s">
        <v>63</v>
      </c>
      <c r="G20" s="38" t="s">
        <v>61</v>
      </c>
      <c r="H20" s="137">
        <v>0</v>
      </c>
      <c r="I20" s="33"/>
      <c r="J20" s="33"/>
      <c r="K20" s="24"/>
      <c r="L20" s="24"/>
      <c r="M20" s="24"/>
      <c r="N20" s="24"/>
      <c r="O20" s="24"/>
      <c r="P20" s="24"/>
      <c r="Q20" s="24"/>
      <c r="R20" s="24"/>
      <c r="S20" s="24"/>
      <c r="T20" s="24"/>
      <c r="U20" s="26"/>
      <c r="V20" s="26"/>
      <c r="W20" s="26"/>
      <c r="X20" s="26"/>
      <c r="Y20" s="26"/>
      <c r="Z20" s="26"/>
      <c r="AA20" s="26"/>
      <c r="AB20" s="26"/>
      <c r="AC20" s="26"/>
      <c r="AD20" s="26"/>
      <c r="AE20" s="26"/>
      <c r="AF20" s="26"/>
      <c r="AG20" s="26"/>
      <c r="AH20" s="26"/>
    </row>
    <row r="21" spans="1:34" ht="16.5" hidden="1" customHeight="1" outlineLevel="2" x14ac:dyDescent="0.35">
      <c r="A21" s="34"/>
      <c r="B21" s="209" t="s">
        <v>81</v>
      </c>
      <c r="C21" s="35" t="s">
        <v>58</v>
      </c>
      <c r="D21" s="36" t="s">
        <v>79</v>
      </c>
      <c r="E21" s="37" t="s">
        <v>254</v>
      </c>
      <c r="F21" s="23" t="s">
        <v>63</v>
      </c>
      <c r="G21" s="38" t="s">
        <v>61</v>
      </c>
      <c r="H21" s="137">
        <v>0</v>
      </c>
      <c r="I21" s="33"/>
      <c r="J21" s="33"/>
      <c r="K21" s="24"/>
      <c r="L21" s="24"/>
      <c r="M21" s="24"/>
      <c r="N21" s="24"/>
      <c r="O21" s="24"/>
      <c r="P21" s="24"/>
      <c r="Q21" s="24"/>
      <c r="R21" s="24"/>
      <c r="S21" s="24"/>
      <c r="T21" s="24"/>
      <c r="U21" s="26"/>
      <c r="V21" s="26"/>
      <c r="W21" s="26"/>
      <c r="X21" s="26"/>
      <c r="Y21" s="26"/>
      <c r="Z21" s="26"/>
      <c r="AA21" s="26"/>
      <c r="AB21" s="26"/>
      <c r="AC21" s="26"/>
      <c r="AD21" s="26"/>
      <c r="AE21" s="26"/>
      <c r="AF21" s="26"/>
      <c r="AG21" s="26"/>
      <c r="AH21" s="26"/>
    </row>
    <row r="22" spans="1:34" ht="16.5" hidden="1" customHeight="1" outlineLevel="2" x14ac:dyDescent="0.35">
      <c r="A22" s="34"/>
      <c r="B22" s="209" t="s">
        <v>82</v>
      </c>
      <c r="C22" s="35" t="s">
        <v>58</v>
      </c>
      <c r="D22" s="36" t="s">
        <v>79</v>
      </c>
      <c r="E22" s="37" t="s">
        <v>255</v>
      </c>
      <c r="F22" s="23" t="s">
        <v>63</v>
      </c>
      <c r="G22" s="38" t="s">
        <v>61</v>
      </c>
      <c r="H22" s="137">
        <v>0</v>
      </c>
      <c r="I22" s="24"/>
      <c r="J22" s="33"/>
      <c r="K22" s="33"/>
      <c r="L22" s="24"/>
      <c r="M22" s="24"/>
      <c r="N22" s="24"/>
      <c r="O22" s="24"/>
      <c r="P22" s="24"/>
      <c r="Q22" s="24"/>
      <c r="R22" s="24"/>
      <c r="S22" s="24"/>
      <c r="T22" s="24"/>
      <c r="U22" s="26"/>
      <c r="V22" s="26"/>
      <c r="W22" s="26"/>
      <c r="X22" s="26"/>
      <c r="Y22" s="26"/>
      <c r="Z22" s="26"/>
      <c r="AA22" s="26"/>
      <c r="AB22" s="26"/>
      <c r="AC22" s="26"/>
      <c r="AD22" s="26"/>
      <c r="AE22" s="26"/>
      <c r="AF22" s="26"/>
      <c r="AG22" s="26"/>
      <c r="AH22" s="26"/>
    </row>
    <row r="23" spans="1:34" ht="16.5" hidden="1" customHeight="1" outlineLevel="2" x14ac:dyDescent="0.35">
      <c r="A23" s="34"/>
      <c r="B23" s="213" t="s">
        <v>83</v>
      </c>
      <c r="C23" s="196" t="s">
        <v>58</v>
      </c>
      <c r="D23" s="198" t="s">
        <v>79</v>
      </c>
      <c r="E23" s="147" t="s">
        <v>256</v>
      </c>
      <c r="F23" s="23" t="s">
        <v>63</v>
      </c>
      <c r="G23" s="38" t="s">
        <v>61</v>
      </c>
      <c r="H23" s="137">
        <v>0</v>
      </c>
      <c r="I23" s="24"/>
      <c r="J23" s="33"/>
      <c r="K23" s="33"/>
      <c r="L23" s="24"/>
      <c r="M23" s="24"/>
      <c r="N23" s="24"/>
      <c r="O23" s="24"/>
      <c r="P23" s="24"/>
      <c r="Q23" s="24"/>
      <c r="R23" s="24"/>
      <c r="S23" s="24"/>
      <c r="T23" s="24"/>
      <c r="U23" s="26"/>
      <c r="V23" s="26"/>
      <c r="W23" s="26"/>
      <c r="X23" s="26"/>
      <c r="Y23" s="26"/>
      <c r="Z23" s="26"/>
      <c r="AA23" s="26"/>
      <c r="AB23" s="26"/>
      <c r="AC23" s="26"/>
      <c r="AD23" s="26"/>
      <c r="AE23" s="26"/>
      <c r="AF23" s="26"/>
      <c r="AG23" s="26"/>
      <c r="AH23" s="26"/>
    </row>
    <row r="24" spans="1:34" ht="16.5" hidden="1" customHeight="1" outlineLevel="2" x14ac:dyDescent="0.35">
      <c r="A24" s="192"/>
      <c r="B24" s="194" t="s">
        <v>297</v>
      </c>
      <c r="C24" s="195"/>
      <c r="D24" s="197"/>
      <c r="E24" s="199"/>
      <c r="F24" s="200"/>
      <c r="G24" s="201"/>
      <c r="H24" s="202"/>
      <c r="I24" s="139"/>
      <c r="J24" s="193"/>
      <c r="K24" s="193"/>
      <c r="L24" s="139"/>
      <c r="M24" s="139"/>
      <c r="N24" s="139"/>
      <c r="O24" s="139"/>
      <c r="P24" s="139"/>
      <c r="Q24" s="139"/>
      <c r="R24" s="139"/>
      <c r="S24" s="139"/>
      <c r="T24" s="139"/>
      <c r="U24" s="141"/>
      <c r="V24" s="141"/>
      <c r="W24" s="141"/>
      <c r="X24" s="141"/>
      <c r="Y24" s="141"/>
      <c r="Z24" s="141"/>
      <c r="AA24" s="141"/>
      <c r="AB24" s="141"/>
      <c r="AC24" s="141"/>
      <c r="AD24" s="141"/>
      <c r="AE24" s="141"/>
      <c r="AF24" s="141"/>
      <c r="AG24" s="141"/>
      <c r="AH24" s="141"/>
    </row>
    <row r="25" spans="1:34" ht="16.5" hidden="1" customHeight="1" outlineLevel="2" x14ac:dyDescent="0.35">
      <c r="A25" s="192"/>
      <c r="B25" s="211" t="s">
        <v>84</v>
      </c>
      <c r="C25" s="203" t="s">
        <v>58</v>
      </c>
      <c r="D25" s="205" t="s">
        <v>298</v>
      </c>
      <c r="E25" s="163" t="s">
        <v>299</v>
      </c>
      <c r="F25" s="164" t="s">
        <v>63</v>
      </c>
      <c r="G25" s="165" t="s">
        <v>61</v>
      </c>
      <c r="H25" s="153">
        <v>0</v>
      </c>
      <c r="I25" s="139"/>
      <c r="J25" s="193"/>
      <c r="K25" s="193"/>
      <c r="L25" s="139"/>
      <c r="M25" s="139"/>
      <c r="N25" s="139"/>
      <c r="O25" s="139"/>
      <c r="P25" s="139"/>
      <c r="Q25" s="139"/>
      <c r="R25" s="139"/>
      <c r="S25" s="139"/>
      <c r="T25" s="139"/>
      <c r="U25" s="141"/>
      <c r="V25" s="141"/>
      <c r="W25" s="141"/>
      <c r="X25" s="141"/>
      <c r="Y25" s="141"/>
      <c r="Z25" s="141"/>
      <c r="AA25" s="141"/>
      <c r="AB25" s="141"/>
      <c r="AC25" s="141"/>
      <c r="AD25" s="141"/>
      <c r="AE25" s="141"/>
      <c r="AF25" s="141"/>
      <c r="AG25" s="141"/>
      <c r="AH25" s="141"/>
    </row>
    <row r="26" spans="1:34" ht="16.5" hidden="1" customHeight="1" outlineLevel="2" x14ac:dyDescent="0.35">
      <c r="A26" s="192"/>
      <c r="B26" s="211" t="s">
        <v>86</v>
      </c>
      <c r="C26" s="203" t="s">
        <v>58</v>
      </c>
      <c r="D26" s="205" t="s">
        <v>298</v>
      </c>
      <c r="E26" s="163" t="s">
        <v>300</v>
      </c>
      <c r="F26" s="164" t="s">
        <v>63</v>
      </c>
      <c r="G26" s="165" t="s">
        <v>61</v>
      </c>
      <c r="H26" s="153">
        <v>0</v>
      </c>
      <c r="I26" s="139"/>
      <c r="J26" s="193"/>
      <c r="K26" s="193"/>
      <c r="L26" s="139"/>
      <c r="M26" s="139"/>
      <c r="N26" s="139"/>
      <c r="O26" s="139"/>
      <c r="P26" s="139"/>
      <c r="Q26" s="139"/>
      <c r="R26" s="139"/>
      <c r="S26" s="139"/>
      <c r="T26" s="139"/>
      <c r="U26" s="141"/>
      <c r="V26" s="141"/>
      <c r="W26" s="141"/>
      <c r="X26" s="141"/>
      <c r="Y26" s="141"/>
      <c r="Z26" s="141"/>
      <c r="AA26" s="141"/>
      <c r="AB26" s="141"/>
      <c r="AC26" s="141"/>
      <c r="AD26" s="141"/>
      <c r="AE26" s="141"/>
      <c r="AF26" s="141"/>
      <c r="AG26" s="141"/>
      <c r="AH26" s="141"/>
    </row>
    <row r="27" spans="1:34" ht="16.5" hidden="1" customHeight="1" outlineLevel="2" x14ac:dyDescent="0.35">
      <c r="A27" s="192"/>
      <c r="B27" s="212" t="s">
        <v>87</v>
      </c>
      <c r="C27" s="204" t="s">
        <v>58</v>
      </c>
      <c r="D27" s="206" t="s">
        <v>298</v>
      </c>
      <c r="E27" s="148" t="s">
        <v>301</v>
      </c>
      <c r="F27" s="150" t="s">
        <v>63</v>
      </c>
      <c r="G27" s="152" t="s">
        <v>61</v>
      </c>
      <c r="H27" s="153">
        <v>0</v>
      </c>
      <c r="I27" s="139"/>
      <c r="J27" s="193"/>
      <c r="K27" s="193"/>
      <c r="L27" s="139"/>
      <c r="M27" s="139"/>
      <c r="N27" s="139"/>
      <c r="O27" s="139"/>
      <c r="P27" s="139"/>
      <c r="Q27" s="139"/>
      <c r="R27" s="139"/>
      <c r="S27" s="139"/>
      <c r="T27" s="139"/>
      <c r="U27" s="141"/>
      <c r="V27" s="141"/>
      <c r="W27" s="141"/>
      <c r="X27" s="141"/>
      <c r="Y27" s="141"/>
      <c r="Z27" s="141"/>
      <c r="AA27" s="141"/>
      <c r="AB27" s="141"/>
      <c r="AC27" s="141"/>
      <c r="AD27" s="141"/>
      <c r="AE27" s="141"/>
      <c r="AF27" s="141"/>
      <c r="AG27" s="141"/>
      <c r="AH27" s="141"/>
    </row>
    <row r="28" spans="1:34" ht="15" hidden="1" customHeight="1" outlineLevel="1" x14ac:dyDescent="0.35">
      <c r="A28" s="33"/>
      <c r="B28" s="207" t="s">
        <v>303</v>
      </c>
      <c r="C28" s="207"/>
      <c r="D28" s="207"/>
      <c r="E28" s="207"/>
      <c r="F28" s="207"/>
      <c r="G28" s="207"/>
      <c r="H28" s="4"/>
      <c r="I28" s="4"/>
      <c r="J28" s="4"/>
      <c r="K28" s="4"/>
      <c r="L28" s="4"/>
      <c r="M28" s="4"/>
      <c r="N28" s="4"/>
      <c r="O28" s="4"/>
      <c r="P28" s="4"/>
      <c r="Q28" s="4"/>
      <c r="R28" s="4"/>
      <c r="S28" s="4"/>
      <c r="T28" s="4"/>
      <c r="U28" s="4"/>
      <c r="V28" s="4"/>
      <c r="W28" s="4"/>
      <c r="X28" s="4"/>
      <c r="Y28" s="4"/>
      <c r="Z28" s="4"/>
      <c r="AA28" s="4"/>
      <c r="AB28" s="4"/>
      <c r="AC28" s="4"/>
      <c r="AD28" s="4"/>
      <c r="AE28" s="4"/>
      <c r="AF28" s="4"/>
      <c r="AG28" s="4"/>
      <c r="AH28" s="4"/>
    </row>
    <row r="29" spans="1:34" ht="16.5" hidden="1" customHeight="1" outlineLevel="2" x14ac:dyDescent="0.35">
      <c r="A29" s="34"/>
      <c r="B29" s="209" t="s">
        <v>305</v>
      </c>
      <c r="C29" s="35" t="s">
        <v>58</v>
      </c>
      <c r="D29" s="36" t="s">
        <v>302</v>
      </c>
      <c r="E29" s="37" t="s">
        <v>257</v>
      </c>
      <c r="F29" s="23" t="s">
        <v>85</v>
      </c>
      <c r="G29" s="38" t="s">
        <v>61</v>
      </c>
      <c r="H29" s="137">
        <v>0</v>
      </c>
      <c r="I29" s="24"/>
      <c r="J29" s="24"/>
      <c r="K29" s="33"/>
      <c r="L29" s="33"/>
      <c r="M29" s="24"/>
      <c r="N29" s="24"/>
      <c r="O29" s="24"/>
      <c r="P29" s="24"/>
      <c r="Q29" s="24"/>
      <c r="R29" s="24"/>
      <c r="S29" s="24"/>
      <c r="T29" s="24"/>
      <c r="U29" s="26"/>
      <c r="V29" s="26"/>
      <c r="W29" s="26"/>
      <c r="X29" s="26"/>
      <c r="Y29" s="26"/>
      <c r="Z29" s="26"/>
      <c r="AA29" s="26"/>
      <c r="AB29" s="26"/>
      <c r="AC29" s="26"/>
      <c r="AD29" s="26"/>
      <c r="AE29" s="26"/>
      <c r="AF29" s="26"/>
      <c r="AG29" s="26"/>
      <c r="AH29" s="26"/>
    </row>
    <row r="30" spans="1:34" ht="16.5" hidden="1" customHeight="1" outlineLevel="2" x14ac:dyDescent="0.35">
      <c r="A30" s="34"/>
      <c r="B30" s="209">
        <v>1.21</v>
      </c>
      <c r="C30" s="35" t="s">
        <v>58</v>
      </c>
      <c r="D30" s="36" t="s">
        <v>302</v>
      </c>
      <c r="E30" s="37" t="s">
        <v>258</v>
      </c>
      <c r="F30" s="23" t="s">
        <v>85</v>
      </c>
      <c r="G30" s="38" t="s">
        <v>61</v>
      </c>
      <c r="H30" s="137">
        <v>0</v>
      </c>
      <c r="I30" s="24"/>
      <c r="J30" s="24"/>
      <c r="K30" s="33"/>
      <c r="L30" s="33"/>
      <c r="M30" s="24"/>
      <c r="N30" s="24"/>
      <c r="O30" s="24"/>
      <c r="P30" s="24"/>
      <c r="Q30" s="24"/>
      <c r="R30" s="24"/>
      <c r="S30" s="24"/>
      <c r="T30" s="24"/>
      <c r="U30" s="26"/>
      <c r="V30" s="26"/>
      <c r="W30" s="26"/>
      <c r="X30" s="26"/>
      <c r="Y30" s="26"/>
      <c r="Z30" s="26"/>
      <c r="AA30" s="26"/>
      <c r="AB30" s="26"/>
      <c r="AC30" s="26"/>
      <c r="AD30" s="26"/>
      <c r="AE30" s="26"/>
      <c r="AF30" s="26"/>
      <c r="AG30" s="26"/>
      <c r="AH30" s="26"/>
    </row>
    <row r="31" spans="1:34" ht="16.5" hidden="1" customHeight="1" outlineLevel="2" x14ac:dyDescent="0.35">
      <c r="A31" s="34"/>
      <c r="B31" s="209">
        <v>1.22</v>
      </c>
      <c r="C31" s="35" t="s">
        <v>58</v>
      </c>
      <c r="D31" s="36" t="s">
        <v>302</v>
      </c>
      <c r="E31" s="37" t="s">
        <v>259</v>
      </c>
      <c r="F31" s="23" t="s">
        <v>85</v>
      </c>
      <c r="G31" s="38" t="s">
        <v>61</v>
      </c>
      <c r="H31" s="137">
        <v>0</v>
      </c>
      <c r="I31" s="24"/>
      <c r="J31" s="24"/>
      <c r="K31" s="33"/>
      <c r="L31" s="33"/>
      <c r="M31" s="24"/>
      <c r="N31" s="24"/>
      <c r="O31" s="24"/>
      <c r="P31" s="24"/>
      <c r="Q31" s="24"/>
      <c r="R31" s="24"/>
      <c r="S31" s="24"/>
      <c r="T31" s="24"/>
      <c r="U31" s="26"/>
      <c r="V31" s="26"/>
      <c r="W31" s="26"/>
      <c r="X31" s="26"/>
      <c r="Y31" s="26"/>
      <c r="Z31" s="26"/>
      <c r="AA31" s="26"/>
      <c r="AB31" s="26"/>
      <c r="AC31" s="26"/>
      <c r="AD31" s="26"/>
      <c r="AE31" s="26"/>
      <c r="AF31" s="26"/>
      <c r="AG31" s="26"/>
      <c r="AH31" s="26"/>
    </row>
    <row r="32" spans="1:34" ht="15" hidden="1" customHeight="1" outlineLevel="1" x14ac:dyDescent="0.35">
      <c r="A32" s="40"/>
      <c r="B32" s="168" t="s">
        <v>88</v>
      </c>
      <c r="C32" s="168"/>
      <c r="D32" s="168"/>
      <c r="E32" s="168"/>
      <c r="F32" s="168"/>
      <c r="G32" s="168"/>
      <c r="H32" s="3"/>
      <c r="I32" s="3"/>
      <c r="J32" s="3"/>
      <c r="K32" s="3"/>
      <c r="L32" s="3"/>
      <c r="M32" s="3"/>
      <c r="N32" s="3"/>
      <c r="O32" s="3"/>
      <c r="P32" s="3"/>
      <c r="Q32" s="3"/>
      <c r="R32" s="3"/>
      <c r="S32" s="3"/>
      <c r="T32" s="3"/>
      <c r="U32" s="3"/>
      <c r="V32" s="3"/>
      <c r="W32" s="3"/>
      <c r="X32" s="3"/>
      <c r="Y32" s="3"/>
      <c r="Z32" s="3"/>
      <c r="AA32" s="3"/>
      <c r="AB32" s="3"/>
      <c r="AC32" s="3"/>
      <c r="AD32" s="3"/>
      <c r="AE32" s="3"/>
      <c r="AF32" s="3"/>
      <c r="AG32" s="3"/>
      <c r="AH32" s="3"/>
    </row>
    <row r="33" spans="1:34" ht="16.5" hidden="1" customHeight="1" outlineLevel="2" x14ac:dyDescent="0.35">
      <c r="A33" s="41"/>
      <c r="B33" s="169" t="s">
        <v>89</v>
      </c>
      <c r="C33" s="179" t="s">
        <v>58</v>
      </c>
      <c r="D33" s="172" t="s">
        <v>42</v>
      </c>
      <c r="E33" s="174" t="s">
        <v>309</v>
      </c>
      <c r="F33" s="176" t="s">
        <v>231</v>
      </c>
      <c r="G33" s="178" t="s">
        <v>61</v>
      </c>
      <c r="H33" s="133"/>
      <c r="I33" s="24"/>
      <c r="J33" s="24"/>
      <c r="K33" s="24"/>
      <c r="L33" s="25" t="s">
        <v>43</v>
      </c>
      <c r="M33" s="24"/>
      <c r="N33" s="24"/>
      <c r="O33" s="24"/>
      <c r="P33" s="24"/>
      <c r="Q33" s="24"/>
      <c r="R33" s="24"/>
      <c r="S33" s="24"/>
      <c r="T33" s="24"/>
      <c r="U33" s="26"/>
      <c r="V33" s="26"/>
      <c r="W33" s="26"/>
      <c r="X33" s="26"/>
      <c r="Y33" s="26"/>
      <c r="Z33" s="26"/>
      <c r="AA33" s="26"/>
      <c r="AB33" s="26"/>
      <c r="AC33" s="26"/>
      <c r="AD33" s="26"/>
      <c r="AE33" s="26"/>
      <c r="AF33" s="26"/>
      <c r="AG33" s="26"/>
      <c r="AH33" s="26"/>
    </row>
    <row r="34" spans="1:34" ht="4.5" customHeight="1" collapsed="1" x14ac:dyDescent="0.35">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row>
    <row r="35" spans="1:34" ht="18" customHeight="1" x14ac:dyDescent="0.35">
      <c r="A35" s="2" t="s">
        <v>215</v>
      </c>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row>
    <row r="36" spans="1:34" ht="15" hidden="1" customHeight="1" outlineLevel="1" x14ac:dyDescent="0.35">
      <c r="A36" s="44"/>
      <c r="B36" s="1" t="s">
        <v>90</v>
      </c>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row>
    <row r="37" spans="1:34" ht="16.5" hidden="1" customHeight="1" outlineLevel="2" x14ac:dyDescent="0.35">
      <c r="A37" s="46"/>
      <c r="B37" s="214" t="s">
        <v>91</v>
      </c>
      <c r="C37" s="47" t="s">
        <v>92</v>
      </c>
      <c r="D37" s="48" t="s">
        <v>93</v>
      </c>
      <c r="E37" s="37" t="s">
        <v>260</v>
      </c>
      <c r="F37" s="23" t="s">
        <v>60</v>
      </c>
      <c r="G37" s="38" t="s">
        <v>61</v>
      </c>
      <c r="H37" s="137">
        <v>0</v>
      </c>
      <c r="I37" s="24"/>
      <c r="J37" s="24"/>
      <c r="K37" s="24"/>
      <c r="L37" s="24"/>
      <c r="M37" s="44"/>
      <c r="N37" s="44"/>
      <c r="O37" s="24"/>
      <c r="P37" s="24"/>
      <c r="Q37" s="24"/>
      <c r="R37" s="24"/>
      <c r="S37" s="24"/>
      <c r="T37" s="24"/>
      <c r="U37" s="26"/>
      <c r="V37" s="26"/>
      <c r="W37" s="26"/>
      <c r="X37" s="26"/>
      <c r="Y37" s="26"/>
      <c r="Z37" s="26"/>
      <c r="AA37" s="26"/>
      <c r="AB37" s="26"/>
      <c r="AC37" s="26"/>
      <c r="AD37" s="26"/>
      <c r="AE37" s="26"/>
      <c r="AF37" s="26"/>
      <c r="AG37" s="26"/>
      <c r="AH37" s="26"/>
    </row>
    <row r="38" spans="1:34" ht="16.5" hidden="1" customHeight="1" outlineLevel="2" x14ac:dyDescent="0.35">
      <c r="A38" s="46"/>
      <c r="B38" s="214" t="s">
        <v>94</v>
      </c>
      <c r="C38" s="47" t="s">
        <v>92</v>
      </c>
      <c r="D38" s="48" t="s">
        <v>93</v>
      </c>
      <c r="E38" s="37" t="s">
        <v>261</v>
      </c>
      <c r="F38" s="23" t="s">
        <v>60</v>
      </c>
      <c r="G38" s="38" t="s">
        <v>61</v>
      </c>
      <c r="H38" s="137">
        <v>0</v>
      </c>
      <c r="I38" s="24"/>
      <c r="J38" s="24"/>
      <c r="K38" s="24"/>
      <c r="L38" s="24"/>
      <c r="M38" s="44"/>
      <c r="N38" s="44"/>
      <c r="O38" s="44"/>
      <c r="P38" s="24"/>
      <c r="Q38" s="24"/>
      <c r="R38" s="24"/>
      <c r="S38" s="24"/>
      <c r="T38" s="24"/>
      <c r="U38" s="26"/>
      <c r="V38" s="26"/>
      <c r="W38" s="26"/>
      <c r="X38" s="26"/>
      <c r="Y38" s="26"/>
      <c r="Z38" s="26"/>
      <c r="AA38" s="26"/>
      <c r="AB38" s="26"/>
      <c r="AC38" s="26"/>
      <c r="AD38" s="26"/>
      <c r="AE38" s="26"/>
      <c r="AF38" s="26"/>
      <c r="AG38" s="26"/>
      <c r="AH38" s="26"/>
    </row>
    <row r="39" spans="1:34" ht="16.5" hidden="1" customHeight="1" outlineLevel="2" x14ac:dyDescent="0.35">
      <c r="A39" s="46"/>
      <c r="B39" s="214" t="s">
        <v>95</v>
      </c>
      <c r="C39" s="47" t="s">
        <v>92</v>
      </c>
      <c r="D39" s="48" t="s">
        <v>93</v>
      </c>
      <c r="E39" s="37" t="s">
        <v>262</v>
      </c>
      <c r="F39" s="23" t="s">
        <v>60</v>
      </c>
      <c r="G39" s="38" t="s">
        <v>61</v>
      </c>
      <c r="H39" s="137">
        <v>0</v>
      </c>
      <c r="I39" s="24"/>
      <c r="J39" s="24"/>
      <c r="K39" s="24"/>
      <c r="L39" s="24"/>
      <c r="M39" s="24"/>
      <c r="N39" s="44"/>
      <c r="O39" s="44"/>
      <c r="P39" s="24"/>
      <c r="Q39" s="24"/>
      <c r="R39" s="24"/>
      <c r="S39" s="24"/>
      <c r="T39" s="24"/>
      <c r="U39" s="26"/>
      <c r="V39" s="26"/>
      <c r="W39" s="26"/>
      <c r="X39" s="26"/>
      <c r="Y39" s="26"/>
      <c r="Z39" s="26"/>
      <c r="AA39" s="26"/>
      <c r="AB39" s="26"/>
      <c r="AC39" s="26"/>
      <c r="AD39" s="26"/>
      <c r="AE39" s="26"/>
      <c r="AF39" s="26"/>
      <c r="AG39" s="26"/>
      <c r="AH39" s="26"/>
    </row>
    <row r="40" spans="1:34" ht="16.5" hidden="1" customHeight="1" outlineLevel="2" x14ac:dyDescent="0.35">
      <c r="A40" s="46"/>
      <c r="B40" s="214" t="s">
        <v>96</v>
      </c>
      <c r="C40" s="47" t="s">
        <v>92</v>
      </c>
      <c r="D40" s="48" t="s">
        <v>93</v>
      </c>
      <c r="E40" s="37" t="s">
        <v>263</v>
      </c>
      <c r="F40" s="23" t="s">
        <v>60</v>
      </c>
      <c r="G40" s="38" t="s">
        <v>61</v>
      </c>
      <c r="H40" s="137">
        <v>0</v>
      </c>
      <c r="I40" s="24"/>
      <c r="J40" s="24"/>
      <c r="K40" s="24"/>
      <c r="L40" s="24"/>
      <c r="M40" s="24"/>
      <c r="N40" s="44"/>
      <c r="O40" s="44"/>
      <c r="P40" s="44"/>
      <c r="Q40" s="24"/>
      <c r="R40" s="24"/>
      <c r="S40" s="24"/>
      <c r="T40" s="24"/>
      <c r="U40" s="26"/>
      <c r="V40" s="26"/>
      <c r="W40" s="26"/>
      <c r="X40" s="26"/>
      <c r="Y40" s="26"/>
      <c r="Z40" s="26"/>
      <c r="AA40" s="26"/>
      <c r="AB40" s="26"/>
      <c r="AC40" s="26"/>
      <c r="AD40" s="26"/>
      <c r="AE40" s="26"/>
      <c r="AF40" s="26"/>
      <c r="AG40" s="26"/>
      <c r="AH40" s="26"/>
    </row>
    <row r="41" spans="1:34" ht="15" hidden="1" customHeight="1" outlineLevel="1" x14ac:dyDescent="0.35">
      <c r="A41" s="44"/>
      <c r="B41" s="208" t="s">
        <v>292</v>
      </c>
      <c r="C41" s="208"/>
      <c r="D41" s="208"/>
      <c r="E41" s="208"/>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spans="1:34" ht="15" hidden="1" customHeight="1" outlineLevel="1" x14ac:dyDescent="0.35">
      <c r="A42" s="180"/>
      <c r="B42" s="182" t="s">
        <v>97</v>
      </c>
      <c r="C42" s="184"/>
      <c r="D42" s="184"/>
      <c r="E42" s="184"/>
      <c r="F42" s="183"/>
      <c r="G42" s="183"/>
      <c r="H42" s="183"/>
      <c r="I42" s="181"/>
      <c r="J42" s="181"/>
      <c r="K42" s="181"/>
      <c r="L42" s="181"/>
      <c r="M42" s="45"/>
      <c r="N42" s="45"/>
      <c r="O42" s="45"/>
      <c r="P42" s="181"/>
      <c r="Q42" s="181"/>
      <c r="R42" s="181"/>
      <c r="S42" s="181"/>
      <c r="T42" s="181"/>
      <c r="U42" s="181"/>
      <c r="V42" s="181"/>
      <c r="W42" s="181"/>
      <c r="X42" s="181"/>
      <c r="Y42" s="181"/>
      <c r="Z42" s="181"/>
      <c r="AA42" s="181"/>
      <c r="AB42" s="181"/>
      <c r="AC42" s="181"/>
      <c r="AD42" s="181"/>
      <c r="AE42" s="181"/>
      <c r="AF42" s="181"/>
      <c r="AG42" s="181"/>
      <c r="AH42" s="181"/>
    </row>
    <row r="43" spans="1:34" ht="15" hidden="1" customHeight="1" outlineLevel="2" x14ac:dyDescent="0.35">
      <c r="A43" s="180"/>
      <c r="B43" s="215">
        <v>2.5</v>
      </c>
      <c r="C43" s="185" t="s">
        <v>92</v>
      </c>
      <c r="D43" s="186" t="s">
        <v>293</v>
      </c>
      <c r="E43" s="187" t="s">
        <v>294</v>
      </c>
      <c r="F43" s="188" t="s">
        <v>63</v>
      </c>
      <c r="G43" s="165" t="s">
        <v>61</v>
      </c>
      <c r="H43" s="153">
        <v>0</v>
      </c>
      <c r="I43" s="181"/>
      <c r="J43" s="181"/>
      <c r="K43" s="181"/>
      <c r="L43" s="181"/>
      <c r="M43" s="45"/>
      <c r="N43" s="45"/>
      <c r="O43" s="45"/>
      <c r="P43" s="181"/>
      <c r="Q43" s="181"/>
      <c r="R43" s="181"/>
      <c r="S43" s="181"/>
      <c r="T43" s="181"/>
      <c r="U43" s="181"/>
      <c r="V43" s="181"/>
      <c r="W43" s="181"/>
      <c r="X43" s="181"/>
      <c r="Y43" s="181"/>
      <c r="Z43" s="181"/>
      <c r="AA43" s="181"/>
      <c r="AB43" s="181"/>
      <c r="AC43" s="181"/>
      <c r="AD43" s="181"/>
      <c r="AE43" s="181"/>
      <c r="AF43" s="181"/>
      <c r="AG43" s="181"/>
      <c r="AH43" s="181"/>
    </row>
    <row r="44" spans="1:34" ht="15" hidden="1" customHeight="1" outlineLevel="2" x14ac:dyDescent="0.35">
      <c r="A44" s="180"/>
      <c r="B44" s="216">
        <v>2.6</v>
      </c>
      <c r="C44" s="171" t="s">
        <v>92</v>
      </c>
      <c r="D44" s="173" t="s">
        <v>295</v>
      </c>
      <c r="E44" s="175" t="s">
        <v>296</v>
      </c>
      <c r="F44" s="177" t="s">
        <v>60</v>
      </c>
      <c r="G44" s="152" t="s">
        <v>61</v>
      </c>
      <c r="H44" s="153">
        <v>0</v>
      </c>
      <c r="I44" s="181"/>
      <c r="J44" s="181"/>
      <c r="K44" s="181"/>
      <c r="L44" s="181"/>
      <c r="M44" s="45"/>
      <c r="N44" s="45"/>
      <c r="O44" s="45"/>
      <c r="P44" s="181"/>
      <c r="Q44" s="181"/>
      <c r="R44" s="181"/>
      <c r="S44" s="181"/>
      <c r="T44" s="181"/>
      <c r="U44" s="181"/>
      <c r="V44" s="181"/>
      <c r="W44" s="181"/>
      <c r="X44" s="181"/>
      <c r="Y44" s="181"/>
      <c r="Z44" s="181"/>
      <c r="AA44" s="181"/>
      <c r="AB44" s="181"/>
      <c r="AC44" s="181"/>
      <c r="AD44" s="181"/>
      <c r="AE44" s="181"/>
      <c r="AF44" s="181"/>
      <c r="AG44" s="181"/>
      <c r="AH44" s="181"/>
    </row>
    <row r="45" spans="1:34" ht="16.5" hidden="1" customHeight="1" outlineLevel="2" x14ac:dyDescent="0.35">
      <c r="A45" s="46"/>
      <c r="B45" s="217">
        <v>2.7</v>
      </c>
      <c r="C45" s="189" t="s">
        <v>92</v>
      </c>
      <c r="D45" s="190" t="s">
        <v>98</v>
      </c>
      <c r="E45" s="191" t="s">
        <v>264</v>
      </c>
      <c r="F45" s="176" t="s">
        <v>60</v>
      </c>
      <c r="G45" s="178" t="s">
        <v>61</v>
      </c>
      <c r="H45" s="137">
        <v>0</v>
      </c>
      <c r="I45" s="24"/>
      <c r="J45" s="24"/>
      <c r="K45" s="24"/>
      <c r="L45" s="24"/>
      <c r="M45" s="44"/>
      <c r="N45" s="44"/>
      <c r="O45" s="44"/>
      <c r="P45" s="24"/>
      <c r="Q45" s="24"/>
      <c r="R45" s="24"/>
      <c r="S45" s="24"/>
      <c r="T45" s="24"/>
      <c r="U45" s="26"/>
      <c r="V45" s="26"/>
      <c r="W45" s="26"/>
      <c r="X45" s="26"/>
      <c r="Y45" s="26"/>
      <c r="Z45" s="26"/>
      <c r="AA45" s="26"/>
      <c r="AB45" s="26"/>
      <c r="AC45" s="26"/>
      <c r="AD45" s="26"/>
      <c r="AE45" s="26"/>
      <c r="AF45" s="26"/>
      <c r="AG45" s="26"/>
      <c r="AH45" s="26"/>
    </row>
    <row r="46" spans="1:34" ht="16.5" hidden="1" customHeight="1" outlineLevel="2" x14ac:dyDescent="0.35">
      <c r="A46" s="46"/>
      <c r="B46" s="214">
        <v>2.8</v>
      </c>
      <c r="C46" s="47" t="s">
        <v>92</v>
      </c>
      <c r="D46" s="48" t="s">
        <v>98</v>
      </c>
      <c r="E46" s="37" t="s">
        <v>265</v>
      </c>
      <c r="F46" s="23" t="s">
        <v>60</v>
      </c>
      <c r="G46" s="38" t="s">
        <v>61</v>
      </c>
      <c r="H46" s="137">
        <v>0</v>
      </c>
      <c r="I46" s="24"/>
      <c r="J46" s="24"/>
      <c r="K46" s="24"/>
      <c r="L46" s="24"/>
      <c r="M46" s="24"/>
      <c r="N46" s="44"/>
      <c r="O46" s="44"/>
      <c r="P46" s="44"/>
      <c r="Q46" s="24"/>
      <c r="R46" s="24"/>
      <c r="S46" s="24"/>
      <c r="T46" s="24"/>
      <c r="U46" s="26"/>
      <c r="V46" s="26"/>
      <c r="W46" s="26"/>
      <c r="X46" s="26"/>
      <c r="Y46" s="26"/>
      <c r="Z46" s="26"/>
      <c r="AA46" s="26"/>
      <c r="AB46" s="26"/>
      <c r="AC46" s="26"/>
      <c r="AD46" s="26"/>
      <c r="AE46" s="26"/>
      <c r="AF46" s="26"/>
      <c r="AG46" s="26"/>
      <c r="AH46" s="26"/>
    </row>
    <row r="47" spans="1:34" ht="16.5" hidden="1" customHeight="1" outlineLevel="2" x14ac:dyDescent="0.35">
      <c r="A47" s="46"/>
      <c r="B47" s="218">
        <v>2.9</v>
      </c>
      <c r="C47" s="143" t="s">
        <v>92</v>
      </c>
      <c r="D47" s="145" t="s">
        <v>98</v>
      </c>
      <c r="E47" s="147" t="s">
        <v>266</v>
      </c>
      <c r="F47" s="149" t="s">
        <v>60</v>
      </c>
      <c r="G47" s="151" t="s">
        <v>61</v>
      </c>
      <c r="H47" s="137">
        <v>0</v>
      </c>
      <c r="I47" s="24"/>
      <c r="J47" s="24"/>
      <c r="K47" s="24"/>
      <c r="L47" s="24"/>
      <c r="M47" s="24"/>
      <c r="N47" s="24"/>
      <c r="O47" s="44"/>
      <c r="P47" s="44"/>
      <c r="Q47" s="24"/>
      <c r="R47" s="24"/>
      <c r="S47" s="24"/>
      <c r="T47" s="24"/>
      <c r="U47" s="26"/>
      <c r="V47" s="26"/>
      <c r="W47" s="26"/>
      <c r="X47" s="26"/>
      <c r="Y47" s="26"/>
      <c r="Z47" s="26"/>
      <c r="AA47" s="26"/>
      <c r="AB47" s="26"/>
      <c r="AC47" s="26"/>
      <c r="AD47" s="26"/>
      <c r="AE47" s="26"/>
      <c r="AF47" s="26"/>
      <c r="AG47" s="26"/>
      <c r="AH47" s="26"/>
    </row>
    <row r="48" spans="1:34" ht="16.5" hidden="1" customHeight="1" outlineLevel="2" x14ac:dyDescent="0.35">
      <c r="A48" s="138"/>
      <c r="B48" s="210" t="s">
        <v>100</v>
      </c>
      <c r="C48" s="144" t="s">
        <v>92</v>
      </c>
      <c r="D48" s="146" t="s">
        <v>98</v>
      </c>
      <c r="E48" s="148" t="s">
        <v>267</v>
      </c>
      <c r="F48" s="150" t="s">
        <v>60</v>
      </c>
      <c r="G48" s="152" t="s">
        <v>61</v>
      </c>
      <c r="H48" s="153">
        <v>0</v>
      </c>
      <c r="I48" s="139"/>
      <c r="J48" s="139"/>
      <c r="K48" s="139"/>
      <c r="L48" s="139"/>
      <c r="M48" s="139"/>
      <c r="N48" s="139"/>
      <c r="O48" s="140"/>
      <c r="P48" s="140"/>
      <c r="Q48" s="139"/>
      <c r="R48" s="139"/>
      <c r="S48" s="139"/>
      <c r="T48" s="139"/>
      <c r="U48" s="141"/>
      <c r="V48" s="141"/>
      <c r="W48" s="141"/>
      <c r="X48" s="141"/>
      <c r="Y48" s="141"/>
      <c r="Z48" s="141"/>
      <c r="AA48" s="141"/>
      <c r="AB48" s="141"/>
      <c r="AC48" s="141"/>
      <c r="AD48" s="141"/>
      <c r="AE48" s="141"/>
      <c r="AF48" s="141"/>
      <c r="AG48" s="141"/>
      <c r="AH48" s="141"/>
    </row>
    <row r="49" spans="1:34" ht="15" hidden="1" customHeight="1" outlineLevel="1" x14ac:dyDescent="0.35">
      <c r="A49" s="44"/>
      <c r="B49" s="142" t="s">
        <v>304</v>
      </c>
      <c r="C49" s="142"/>
      <c r="D49" s="142"/>
      <c r="E49" s="142"/>
      <c r="F49" s="142"/>
      <c r="G49" s="142"/>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spans="1:34" ht="16.5" hidden="1" customHeight="1" outlineLevel="2" x14ac:dyDescent="0.35">
      <c r="A50" s="46"/>
      <c r="B50" s="214">
        <v>2.11</v>
      </c>
      <c r="C50" s="47" t="s">
        <v>92</v>
      </c>
      <c r="D50" s="48" t="s">
        <v>302</v>
      </c>
      <c r="E50" s="37" t="s">
        <v>268</v>
      </c>
      <c r="F50" s="23" t="s">
        <v>85</v>
      </c>
      <c r="G50" s="38" t="s">
        <v>61</v>
      </c>
      <c r="H50" s="137">
        <v>0</v>
      </c>
      <c r="I50" s="24"/>
      <c r="J50" s="24"/>
      <c r="K50" s="24"/>
      <c r="L50" s="24"/>
      <c r="M50" s="24"/>
      <c r="N50" s="44"/>
      <c r="O50" s="44"/>
      <c r="P50" s="44"/>
      <c r="Q50" s="24"/>
      <c r="R50" s="24"/>
      <c r="S50" s="24"/>
      <c r="T50" s="24"/>
      <c r="U50" s="26"/>
      <c r="V50" s="26"/>
      <c r="W50" s="26"/>
      <c r="X50" s="26"/>
      <c r="Y50" s="26"/>
      <c r="Z50" s="26"/>
      <c r="AA50" s="26"/>
      <c r="AB50" s="26"/>
      <c r="AC50" s="26"/>
      <c r="AD50" s="26"/>
      <c r="AE50" s="26"/>
      <c r="AF50" s="26"/>
      <c r="AG50" s="26"/>
      <c r="AH50" s="26"/>
    </row>
    <row r="51" spans="1:34" ht="16.5" hidden="1" customHeight="1" outlineLevel="2" x14ac:dyDescent="0.35">
      <c r="A51" s="46"/>
      <c r="B51" s="214">
        <v>2.12</v>
      </c>
      <c r="C51" s="47" t="s">
        <v>92</v>
      </c>
      <c r="D51" s="48" t="s">
        <v>302</v>
      </c>
      <c r="E51" s="37" t="s">
        <v>269</v>
      </c>
      <c r="F51" s="23" t="s">
        <v>85</v>
      </c>
      <c r="G51" s="38" t="s">
        <v>61</v>
      </c>
      <c r="H51" s="137">
        <v>0</v>
      </c>
      <c r="I51" s="24"/>
      <c r="J51" s="24"/>
      <c r="K51" s="24"/>
      <c r="L51" s="24"/>
      <c r="M51" s="24"/>
      <c r="N51" s="24"/>
      <c r="O51" s="44"/>
      <c r="P51" s="44"/>
      <c r="Q51" s="24"/>
      <c r="R51" s="24"/>
      <c r="S51" s="24"/>
      <c r="T51" s="24"/>
      <c r="U51" s="26"/>
      <c r="V51" s="26"/>
      <c r="W51" s="26"/>
      <c r="X51" s="26"/>
      <c r="Y51" s="26"/>
      <c r="Z51" s="26"/>
      <c r="AA51" s="26"/>
      <c r="AB51" s="26"/>
      <c r="AC51" s="26"/>
      <c r="AD51" s="26"/>
      <c r="AE51" s="26"/>
      <c r="AF51" s="26"/>
      <c r="AG51" s="26"/>
      <c r="AH51" s="26"/>
    </row>
    <row r="52" spans="1:34" ht="16.5" hidden="1" customHeight="1" outlineLevel="2" x14ac:dyDescent="0.35">
      <c r="A52" s="46"/>
      <c r="B52" s="214">
        <v>2.13</v>
      </c>
      <c r="C52" s="47" t="s">
        <v>92</v>
      </c>
      <c r="D52" s="48" t="s">
        <v>302</v>
      </c>
      <c r="E52" s="37" t="s">
        <v>270</v>
      </c>
      <c r="F52" s="23" t="s">
        <v>85</v>
      </c>
      <c r="G52" s="38" t="s">
        <v>61</v>
      </c>
      <c r="H52" s="137">
        <v>0</v>
      </c>
      <c r="I52" s="24"/>
      <c r="J52" s="24"/>
      <c r="K52" s="24"/>
      <c r="L52" s="24"/>
      <c r="M52" s="24"/>
      <c r="N52" s="24"/>
      <c r="O52" s="44"/>
      <c r="P52" s="44"/>
      <c r="Q52" s="24"/>
      <c r="R52" s="24"/>
      <c r="S52" s="24"/>
      <c r="T52" s="24"/>
      <c r="U52" s="26"/>
      <c r="V52" s="26"/>
      <c r="W52" s="26"/>
      <c r="X52" s="26"/>
      <c r="Y52" s="26"/>
      <c r="Z52" s="26"/>
      <c r="AA52" s="26"/>
      <c r="AB52" s="26"/>
      <c r="AC52" s="26"/>
      <c r="AD52" s="26"/>
      <c r="AE52" s="26"/>
      <c r="AF52" s="26"/>
      <c r="AG52" s="26"/>
      <c r="AH52" s="26"/>
    </row>
    <row r="53" spans="1:34" ht="16.5" hidden="1" customHeight="1" outlineLevel="2" x14ac:dyDescent="0.35">
      <c r="A53" s="46"/>
      <c r="B53" s="214">
        <v>2.14</v>
      </c>
      <c r="C53" s="47" t="s">
        <v>92</v>
      </c>
      <c r="D53" s="48" t="s">
        <v>99</v>
      </c>
      <c r="E53" s="37" t="s">
        <v>271</v>
      </c>
      <c r="F53" s="23" t="s">
        <v>85</v>
      </c>
      <c r="G53" s="38" t="s">
        <v>61</v>
      </c>
      <c r="H53" s="137">
        <v>0</v>
      </c>
      <c r="I53" s="24"/>
      <c r="J53" s="24"/>
      <c r="K53" s="24"/>
      <c r="L53" s="24"/>
      <c r="M53" s="24"/>
      <c r="N53" s="24"/>
      <c r="O53" s="44"/>
      <c r="P53" s="44"/>
      <c r="Q53" s="24"/>
      <c r="R53" s="24"/>
      <c r="S53" s="24"/>
      <c r="T53" s="24"/>
      <c r="U53" s="26"/>
      <c r="V53" s="26"/>
      <c r="W53" s="26"/>
      <c r="X53" s="26"/>
      <c r="Y53" s="26"/>
      <c r="Z53" s="26"/>
      <c r="AA53" s="26"/>
      <c r="AB53" s="26"/>
      <c r="AC53" s="26"/>
      <c r="AD53" s="26"/>
      <c r="AE53" s="26"/>
      <c r="AF53" s="26"/>
      <c r="AG53" s="26"/>
      <c r="AH53" s="26"/>
    </row>
    <row r="54" spans="1:34" ht="15" hidden="1" customHeight="1" outlineLevel="1" x14ac:dyDescent="0.35">
      <c r="A54" s="40"/>
      <c r="B54" s="168" t="s">
        <v>101</v>
      </c>
      <c r="C54" s="168"/>
      <c r="D54" s="168"/>
      <c r="E54" s="168"/>
      <c r="F54" s="168"/>
      <c r="G54" s="168"/>
      <c r="H54" s="3"/>
      <c r="I54" s="3"/>
      <c r="J54" s="3"/>
      <c r="K54" s="3"/>
      <c r="L54" s="3"/>
      <c r="M54" s="3"/>
      <c r="N54" s="3"/>
      <c r="O54" s="3"/>
      <c r="P54" s="3"/>
      <c r="Q54" s="3"/>
      <c r="R54" s="3"/>
      <c r="S54" s="3"/>
      <c r="T54" s="3"/>
      <c r="U54" s="3"/>
      <c r="V54" s="3"/>
      <c r="W54" s="3"/>
      <c r="X54" s="3"/>
      <c r="Y54" s="3"/>
      <c r="Z54" s="3"/>
      <c r="AA54" s="3"/>
      <c r="AB54" s="3"/>
      <c r="AC54" s="3"/>
      <c r="AD54" s="3"/>
      <c r="AE54" s="3"/>
      <c r="AF54" s="3"/>
      <c r="AG54" s="3"/>
      <c r="AH54" s="3"/>
    </row>
    <row r="55" spans="1:34" ht="16.5" hidden="1" customHeight="1" outlineLevel="2" x14ac:dyDescent="0.35">
      <c r="A55" s="41"/>
      <c r="B55" s="169" t="s">
        <v>102</v>
      </c>
      <c r="C55" s="170" t="s">
        <v>92</v>
      </c>
      <c r="D55" s="172" t="s">
        <v>42</v>
      </c>
      <c r="E55" s="174" t="s">
        <v>308</v>
      </c>
      <c r="F55" s="176" t="s">
        <v>231</v>
      </c>
      <c r="G55" s="178" t="s">
        <v>61</v>
      </c>
      <c r="H55" s="133"/>
      <c r="I55" s="24"/>
      <c r="J55" s="24"/>
      <c r="K55" s="24"/>
      <c r="L55" s="24"/>
      <c r="M55" s="24"/>
      <c r="N55" s="24"/>
      <c r="O55" s="24"/>
      <c r="P55" s="27" t="s">
        <v>43</v>
      </c>
      <c r="Q55" s="24"/>
      <c r="R55" s="24"/>
      <c r="S55" s="24"/>
      <c r="T55" s="24"/>
      <c r="U55" s="26"/>
      <c r="V55" s="26"/>
      <c r="W55" s="26"/>
      <c r="X55" s="26"/>
      <c r="Y55" s="26"/>
      <c r="Z55" s="26"/>
      <c r="AA55" s="26"/>
      <c r="AB55" s="26"/>
      <c r="AC55" s="26"/>
      <c r="AD55" s="26"/>
      <c r="AE55" s="26"/>
      <c r="AF55" s="26"/>
      <c r="AG55" s="26"/>
      <c r="AH55" s="26"/>
    </row>
    <row r="56" spans="1:34" ht="4.5" customHeight="1" collapsed="1" x14ac:dyDescent="0.35">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row>
    <row r="57" spans="1:34" ht="18" customHeight="1" x14ac:dyDescent="0.35">
      <c r="A57" s="76" t="s">
        <v>216</v>
      </c>
      <c r="B57" s="76"/>
      <c r="C57" s="76"/>
      <c r="D57" s="76"/>
      <c r="E57" s="76"/>
      <c r="F57" s="76"/>
      <c r="G57" s="76"/>
      <c r="H57" s="76"/>
      <c r="I57" s="76"/>
      <c r="J57" s="76"/>
      <c r="K57" s="76"/>
      <c r="L57" s="76"/>
      <c r="M57" s="76"/>
      <c r="N57" s="76"/>
      <c r="O57" s="76"/>
      <c r="P57" s="76"/>
      <c r="Q57" s="76"/>
      <c r="R57" s="76"/>
      <c r="S57" s="76"/>
      <c r="T57" s="76"/>
      <c r="U57" s="76"/>
      <c r="V57" s="76"/>
      <c r="W57" s="76"/>
      <c r="X57" s="76"/>
      <c r="Y57" s="76"/>
      <c r="Z57" s="76"/>
      <c r="AA57" s="76"/>
      <c r="AB57" s="76"/>
      <c r="AC57" s="76"/>
      <c r="AD57" s="76"/>
      <c r="AE57" s="76"/>
      <c r="AF57" s="76"/>
      <c r="AG57" s="76"/>
      <c r="AH57" s="76"/>
    </row>
    <row r="58" spans="1:34" ht="15" hidden="1" customHeight="1" outlineLevel="1" x14ac:dyDescent="0.35">
      <c r="A58" s="49"/>
      <c r="B58" s="77" t="s">
        <v>103</v>
      </c>
      <c r="C58" s="77"/>
      <c r="D58" s="77"/>
      <c r="E58" s="77"/>
      <c r="F58" s="77"/>
      <c r="G58" s="77"/>
      <c r="H58" s="77"/>
      <c r="I58" s="77"/>
      <c r="J58" s="77"/>
      <c r="K58" s="77"/>
      <c r="L58" s="77"/>
      <c r="M58" s="77"/>
      <c r="N58" s="77"/>
      <c r="O58" s="77"/>
      <c r="P58" s="77"/>
      <c r="Q58" s="77"/>
      <c r="R58" s="77"/>
      <c r="S58" s="77"/>
      <c r="T58" s="77"/>
      <c r="U58" s="77"/>
      <c r="V58" s="77"/>
      <c r="W58" s="77"/>
      <c r="X58" s="77"/>
      <c r="Y58" s="77"/>
      <c r="Z58" s="77"/>
      <c r="AA58" s="77"/>
      <c r="AB58" s="77"/>
      <c r="AC58" s="77"/>
      <c r="AD58" s="77"/>
      <c r="AE58" s="77"/>
      <c r="AF58" s="77"/>
      <c r="AG58" s="77"/>
      <c r="AH58" s="77"/>
    </row>
    <row r="59" spans="1:34" ht="16.5" hidden="1" customHeight="1" outlineLevel="2" x14ac:dyDescent="0.35">
      <c r="A59" s="50"/>
      <c r="B59" s="219" t="s">
        <v>104</v>
      </c>
      <c r="C59" s="52" t="s">
        <v>105</v>
      </c>
      <c r="D59" s="53" t="s">
        <v>302</v>
      </c>
      <c r="E59" s="37" t="s">
        <v>272</v>
      </c>
      <c r="F59" s="23" t="s">
        <v>85</v>
      </c>
      <c r="G59" s="38" t="s">
        <v>61</v>
      </c>
      <c r="H59" s="137">
        <v>0</v>
      </c>
      <c r="I59" s="24"/>
      <c r="J59" s="24"/>
      <c r="K59" s="24"/>
      <c r="L59" s="24"/>
      <c r="M59" s="24"/>
      <c r="N59" s="24"/>
      <c r="O59" s="24"/>
      <c r="P59" s="24"/>
      <c r="Q59" s="49"/>
      <c r="R59" s="49"/>
      <c r="S59" s="49"/>
      <c r="T59" s="24"/>
      <c r="U59" s="26"/>
      <c r="V59" s="26"/>
      <c r="W59" s="26"/>
      <c r="X59" s="26"/>
      <c r="Y59" s="26"/>
      <c r="Z59" s="26"/>
      <c r="AA59" s="26"/>
      <c r="AB59" s="26"/>
      <c r="AC59" s="26"/>
      <c r="AD59" s="26"/>
      <c r="AE59" s="26"/>
      <c r="AF59" s="26"/>
      <c r="AG59" s="26"/>
      <c r="AH59" s="26"/>
    </row>
    <row r="60" spans="1:34" ht="16.5" hidden="1" customHeight="1" outlineLevel="2" x14ac:dyDescent="0.35">
      <c r="A60" s="50"/>
      <c r="B60" s="219" t="s">
        <v>106</v>
      </c>
      <c r="C60" s="52" t="s">
        <v>105</v>
      </c>
      <c r="D60" s="53" t="s">
        <v>302</v>
      </c>
      <c r="E60" s="37" t="s">
        <v>273</v>
      </c>
      <c r="F60" s="23" t="s">
        <v>85</v>
      </c>
      <c r="G60" s="38" t="s">
        <v>61</v>
      </c>
      <c r="H60" s="137">
        <v>0</v>
      </c>
      <c r="I60" s="24"/>
      <c r="J60" s="24"/>
      <c r="K60" s="24"/>
      <c r="L60" s="24"/>
      <c r="M60" s="24"/>
      <c r="N60" s="24"/>
      <c r="O60" s="24"/>
      <c r="P60" s="24"/>
      <c r="Q60" s="49"/>
      <c r="R60" s="49"/>
      <c r="S60" s="49"/>
      <c r="T60" s="24"/>
      <c r="U60" s="26"/>
      <c r="V60" s="26"/>
      <c r="W60" s="26"/>
      <c r="X60" s="26"/>
      <c r="Y60" s="26"/>
      <c r="Z60" s="26"/>
      <c r="AA60" s="26"/>
      <c r="AB60" s="26"/>
      <c r="AC60" s="26"/>
      <c r="AD60" s="26"/>
      <c r="AE60" s="26"/>
      <c r="AF60" s="26"/>
      <c r="AG60" s="26"/>
      <c r="AH60" s="26"/>
    </row>
    <row r="61" spans="1:34" ht="16.5" hidden="1" customHeight="1" outlineLevel="2" x14ac:dyDescent="0.35">
      <c r="A61" s="50"/>
      <c r="B61" s="219" t="s">
        <v>107</v>
      </c>
      <c r="C61" s="52" t="s">
        <v>105</v>
      </c>
      <c r="D61" s="53" t="s">
        <v>302</v>
      </c>
      <c r="E61" s="37" t="s">
        <v>274</v>
      </c>
      <c r="F61" s="23" t="s">
        <v>85</v>
      </c>
      <c r="G61" s="38" t="s">
        <v>61</v>
      </c>
      <c r="H61" s="137">
        <v>0</v>
      </c>
      <c r="I61" s="24"/>
      <c r="J61" s="24"/>
      <c r="K61" s="24"/>
      <c r="L61" s="24"/>
      <c r="M61" s="24"/>
      <c r="N61" s="24"/>
      <c r="O61" s="24"/>
      <c r="P61" s="24"/>
      <c r="Q61" s="24"/>
      <c r="R61" s="49"/>
      <c r="S61" s="49"/>
      <c r="T61" s="49"/>
      <c r="U61" s="26"/>
      <c r="V61" s="26"/>
      <c r="W61" s="26"/>
      <c r="X61" s="26"/>
      <c r="Y61" s="26"/>
      <c r="Z61" s="26"/>
      <c r="AA61" s="26"/>
      <c r="AB61" s="26"/>
      <c r="AC61" s="26"/>
      <c r="AD61" s="26"/>
      <c r="AE61" s="26"/>
      <c r="AF61" s="26"/>
      <c r="AG61" s="26"/>
      <c r="AH61" s="26"/>
    </row>
    <row r="62" spans="1:34" ht="16.5" hidden="1" customHeight="1" outlineLevel="2" x14ac:dyDescent="0.35">
      <c r="A62" s="50"/>
      <c r="B62" s="219" t="s">
        <v>108</v>
      </c>
      <c r="C62" s="52" t="s">
        <v>105</v>
      </c>
      <c r="D62" s="53" t="s">
        <v>291</v>
      </c>
      <c r="E62" s="37" t="s">
        <v>275</v>
      </c>
      <c r="F62" s="23" t="s">
        <v>60</v>
      </c>
      <c r="G62" s="38" t="s">
        <v>61</v>
      </c>
      <c r="H62" s="137">
        <v>0</v>
      </c>
      <c r="I62" s="24"/>
      <c r="J62" s="24"/>
      <c r="K62" s="24"/>
      <c r="L62" s="24"/>
      <c r="M62" s="24"/>
      <c r="N62" s="24"/>
      <c r="O62" s="24"/>
      <c r="P62" s="24"/>
      <c r="Q62" s="49"/>
      <c r="R62" s="49"/>
      <c r="S62" s="49"/>
      <c r="T62" s="24"/>
      <c r="U62" s="26"/>
      <c r="V62" s="26"/>
      <c r="W62" s="26"/>
      <c r="X62" s="26"/>
      <c r="Y62" s="26"/>
      <c r="Z62" s="26"/>
      <c r="AA62" s="26"/>
      <c r="AB62" s="26"/>
      <c r="AC62" s="26"/>
      <c r="AD62" s="26"/>
      <c r="AE62" s="26"/>
      <c r="AF62" s="26"/>
      <c r="AG62" s="26"/>
      <c r="AH62" s="26"/>
    </row>
    <row r="63" spans="1:34" ht="16.5" hidden="1" customHeight="1" outlineLevel="2" x14ac:dyDescent="0.35">
      <c r="A63" s="50"/>
      <c r="B63" s="219" t="s">
        <v>109</v>
      </c>
      <c r="C63" s="52" t="s">
        <v>105</v>
      </c>
      <c r="D63" s="53" t="s">
        <v>302</v>
      </c>
      <c r="E63" s="37" t="s">
        <v>276</v>
      </c>
      <c r="F63" s="23" t="s">
        <v>85</v>
      </c>
      <c r="G63" s="38" t="s">
        <v>61</v>
      </c>
      <c r="H63" s="137">
        <v>0</v>
      </c>
      <c r="I63" s="24"/>
      <c r="J63" s="24"/>
      <c r="K63" s="24"/>
      <c r="L63" s="24"/>
      <c r="M63" s="24"/>
      <c r="N63" s="24"/>
      <c r="O63" s="24"/>
      <c r="P63" s="24"/>
      <c r="Q63" s="49"/>
      <c r="R63" s="49"/>
      <c r="S63" s="24"/>
      <c r="T63" s="24"/>
      <c r="U63" s="26"/>
      <c r="V63" s="26"/>
      <c r="W63" s="26"/>
      <c r="X63" s="26"/>
      <c r="Y63" s="26"/>
      <c r="Z63" s="26"/>
      <c r="AA63" s="26"/>
      <c r="AB63" s="26"/>
      <c r="AC63" s="26"/>
      <c r="AD63" s="26"/>
      <c r="AE63" s="26"/>
      <c r="AF63" s="26"/>
      <c r="AG63" s="26"/>
      <c r="AH63" s="26"/>
    </row>
    <row r="64" spans="1:34" ht="16.5" hidden="1" customHeight="1" outlineLevel="2" x14ac:dyDescent="0.35">
      <c r="A64" s="50"/>
      <c r="B64" s="219" t="s">
        <v>110</v>
      </c>
      <c r="C64" s="52" t="s">
        <v>105</v>
      </c>
      <c r="D64" s="53" t="s">
        <v>302</v>
      </c>
      <c r="E64" s="37" t="s">
        <v>277</v>
      </c>
      <c r="F64" s="23" t="s">
        <v>85</v>
      </c>
      <c r="G64" s="38" t="s">
        <v>61</v>
      </c>
      <c r="H64" s="137">
        <v>0</v>
      </c>
      <c r="I64" s="24"/>
      <c r="J64" s="24"/>
      <c r="K64" s="24"/>
      <c r="L64" s="24"/>
      <c r="M64" s="24"/>
      <c r="N64" s="24"/>
      <c r="O64" s="24"/>
      <c r="P64" s="24"/>
      <c r="Q64" s="49"/>
      <c r="R64" s="49"/>
      <c r="S64" s="24"/>
      <c r="T64" s="24"/>
      <c r="U64" s="26"/>
      <c r="V64" s="26"/>
      <c r="W64" s="26"/>
      <c r="X64" s="26"/>
      <c r="Y64" s="26"/>
      <c r="Z64" s="26"/>
      <c r="AA64" s="26"/>
      <c r="AB64" s="26"/>
      <c r="AC64" s="26"/>
      <c r="AD64" s="26"/>
      <c r="AE64" s="26"/>
      <c r="AF64" s="26"/>
      <c r="AG64" s="26"/>
      <c r="AH64" s="26"/>
    </row>
    <row r="65" spans="1:34" ht="15" hidden="1" customHeight="1" outlineLevel="1" x14ac:dyDescent="0.35">
      <c r="A65" s="49"/>
      <c r="B65" s="77" t="s">
        <v>111</v>
      </c>
      <c r="C65" s="77"/>
      <c r="D65" s="77"/>
      <c r="E65" s="77"/>
      <c r="F65" s="77"/>
      <c r="G65" s="77"/>
      <c r="H65" s="77"/>
      <c r="I65" s="77"/>
      <c r="J65" s="77"/>
      <c r="K65" s="77"/>
      <c r="L65" s="77"/>
      <c r="M65" s="77"/>
      <c r="N65" s="77"/>
      <c r="O65" s="77"/>
      <c r="P65" s="77"/>
      <c r="Q65" s="77"/>
      <c r="R65" s="77"/>
      <c r="S65" s="77"/>
      <c r="T65" s="77"/>
      <c r="U65" s="77"/>
      <c r="V65" s="77"/>
      <c r="W65" s="77"/>
      <c r="X65" s="77"/>
      <c r="Y65" s="77"/>
      <c r="Z65" s="77"/>
      <c r="AA65" s="77"/>
      <c r="AB65" s="77"/>
      <c r="AC65" s="77"/>
      <c r="AD65" s="77"/>
      <c r="AE65" s="77"/>
      <c r="AF65" s="77"/>
      <c r="AG65" s="77"/>
      <c r="AH65" s="77"/>
    </row>
    <row r="66" spans="1:34" ht="16.5" hidden="1" customHeight="1" outlineLevel="2" x14ac:dyDescent="0.35">
      <c r="A66" s="50"/>
      <c r="B66" s="219" t="s">
        <v>112</v>
      </c>
      <c r="C66" s="52" t="s">
        <v>105</v>
      </c>
      <c r="D66" s="53" t="s">
        <v>302</v>
      </c>
      <c r="E66" s="37" t="s">
        <v>278</v>
      </c>
      <c r="F66" s="23" t="s">
        <v>85</v>
      </c>
      <c r="G66" s="38" t="s">
        <v>61</v>
      </c>
      <c r="H66" s="137">
        <v>0</v>
      </c>
      <c r="I66" s="24"/>
      <c r="J66" s="24"/>
      <c r="K66" s="24"/>
      <c r="L66" s="24"/>
      <c r="M66" s="24"/>
      <c r="N66" s="24"/>
      <c r="O66" s="24"/>
      <c r="P66" s="24"/>
      <c r="Q66" s="24"/>
      <c r="R66" s="49"/>
      <c r="S66" s="49"/>
      <c r="T66" s="49"/>
      <c r="U66" s="26"/>
      <c r="V66" s="26"/>
      <c r="W66" s="26"/>
      <c r="X66" s="26"/>
      <c r="Y66" s="26"/>
      <c r="Z66" s="26"/>
      <c r="AA66" s="26"/>
      <c r="AB66" s="26"/>
      <c r="AC66" s="26"/>
      <c r="AD66" s="26"/>
      <c r="AE66" s="26"/>
      <c r="AF66" s="26"/>
      <c r="AG66" s="26"/>
      <c r="AH66" s="26"/>
    </row>
    <row r="67" spans="1:34" ht="16.5" hidden="1" customHeight="1" outlineLevel="2" x14ac:dyDescent="0.35">
      <c r="A67" s="50"/>
      <c r="B67" s="219" t="s">
        <v>114</v>
      </c>
      <c r="C67" s="52" t="s">
        <v>105</v>
      </c>
      <c r="D67" s="53" t="s">
        <v>113</v>
      </c>
      <c r="E67" s="37" t="s">
        <v>279</v>
      </c>
      <c r="F67" s="23" t="s">
        <v>63</v>
      </c>
      <c r="G67" s="38" t="s">
        <v>61</v>
      </c>
      <c r="H67" s="137">
        <v>0</v>
      </c>
      <c r="I67" s="24"/>
      <c r="J67" s="24"/>
      <c r="K67" s="24"/>
      <c r="L67" s="24"/>
      <c r="M67" s="24"/>
      <c r="N67" s="24"/>
      <c r="O67" s="24"/>
      <c r="P67" s="24"/>
      <c r="Q67" s="24"/>
      <c r="R67" s="24"/>
      <c r="S67" s="49"/>
      <c r="T67" s="49"/>
      <c r="U67" s="26"/>
      <c r="V67" s="26"/>
      <c r="W67" s="26"/>
      <c r="X67" s="26"/>
      <c r="Y67" s="26"/>
      <c r="Z67" s="26"/>
      <c r="AA67" s="26"/>
      <c r="AB67" s="26"/>
      <c r="AC67" s="26"/>
      <c r="AD67" s="26"/>
      <c r="AE67" s="26"/>
      <c r="AF67" s="26"/>
      <c r="AG67" s="26"/>
      <c r="AH67" s="26"/>
    </row>
    <row r="68" spans="1:34" ht="16.5" hidden="1" customHeight="1" outlineLevel="2" x14ac:dyDescent="0.35">
      <c r="A68" s="50"/>
      <c r="B68" s="219" t="s">
        <v>115</v>
      </c>
      <c r="C68" s="52" t="s">
        <v>105</v>
      </c>
      <c r="D68" s="53" t="s">
        <v>113</v>
      </c>
      <c r="E68" s="37" t="s">
        <v>280</v>
      </c>
      <c r="F68" s="23" t="s">
        <v>63</v>
      </c>
      <c r="G68" s="38" t="s">
        <v>61</v>
      </c>
      <c r="H68" s="137">
        <v>0</v>
      </c>
      <c r="I68" s="24"/>
      <c r="J68" s="24"/>
      <c r="K68" s="24"/>
      <c r="L68" s="24"/>
      <c r="M68" s="24"/>
      <c r="N68" s="24"/>
      <c r="O68" s="24"/>
      <c r="P68" s="24"/>
      <c r="Q68" s="24"/>
      <c r="R68" s="49"/>
      <c r="S68" s="49"/>
      <c r="T68" s="24"/>
      <c r="U68" s="26"/>
      <c r="V68" s="26"/>
      <c r="W68" s="26"/>
      <c r="X68" s="26"/>
      <c r="Y68" s="26"/>
      <c r="Z68" s="26"/>
      <c r="AA68" s="26"/>
      <c r="AB68" s="26"/>
      <c r="AC68" s="26"/>
      <c r="AD68" s="26"/>
      <c r="AE68" s="26"/>
      <c r="AF68" s="26"/>
      <c r="AG68" s="26"/>
      <c r="AH68" s="26"/>
    </row>
    <row r="69" spans="1:34" ht="16.5" hidden="1" customHeight="1" outlineLevel="2" x14ac:dyDescent="0.35">
      <c r="A69" s="50"/>
      <c r="B69" s="220" t="s">
        <v>116</v>
      </c>
      <c r="C69" s="158" t="s">
        <v>105</v>
      </c>
      <c r="D69" s="161" t="s">
        <v>113</v>
      </c>
      <c r="E69" s="147" t="s">
        <v>281</v>
      </c>
      <c r="F69" s="149" t="s">
        <v>63</v>
      </c>
      <c r="G69" s="151" t="s">
        <v>61</v>
      </c>
      <c r="H69" s="137">
        <v>0</v>
      </c>
      <c r="I69" s="24"/>
      <c r="J69" s="24"/>
      <c r="K69" s="24"/>
      <c r="L69" s="24"/>
      <c r="M69" s="24"/>
      <c r="N69" s="24"/>
      <c r="O69" s="24"/>
      <c r="P69" s="24"/>
      <c r="Q69" s="24"/>
      <c r="R69" s="49"/>
      <c r="S69" s="49"/>
      <c r="T69" s="49"/>
      <c r="U69" s="26"/>
      <c r="V69" s="26"/>
      <c r="W69" s="26"/>
      <c r="X69" s="26"/>
      <c r="Y69" s="26"/>
      <c r="Z69" s="26"/>
      <c r="AA69" s="26"/>
      <c r="AB69" s="26"/>
      <c r="AC69" s="26"/>
      <c r="AD69" s="26"/>
      <c r="AE69" s="26"/>
      <c r="AF69" s="26"/>
      <c r="AG69" s="26"/>
      <c r="AH69" s="26"/>
    </row>
    <row r="70" spans="1:34" ht="16.5" hidden="1" customHeight="1" outlineLevel="2" x14ac:dyDescent="0.35">
      <c r="A70" s="154"/>
      <c r="B70" s="221">
        <v>3.11</v>
      </c>
      <c r="C70" s="157" t="s">
        <v>105</v>
      </c>
      <c r="D70" s="160" t="s">
        <v>239</v>
      </c>
      <c r="E70" s="163" t="s">
        <v>282</v>
      </c>
      <c r="F70" s="164" t="s">
        <v>63</v>
      </c>
      <c r="G70" s="165" t="s">
        <v>61</v>
      </c>
      <c r="H70" s="153">
        <v>0</v>
      </c>
      <c r="I70" s="139"/>
      <c r="J70" s="139"/>
      <c r="K70" s="139"/>
      <c r="L70" s="139"/>
      <c r="M70" s="139"/>
      <c r="N70" s="139"/>
      <c r="O70" s="139"/>
      <c r="P70" s="139"/>
      <c r="Q70" s="139"/>
      <c r="R70" s="155"/>
      <c r="S70" s="155"/>
      <c r="T70" s="155"/>
      <c r="U70" s="141"/>
      <c r="V70" s="141"/>
      <c r="W70" s="141"/>
      <c r="X70" s="141"/>
      <c r="Y70" s="141"/>
      <c r="Z70" s="141"/>
      <c r="AA70" s="141"/>
      <c r="AB70" s="141"/>
      <c r="AC70" s="141"/>
      <c r="AD70" s="141"/>
      <c r="AE70" s="141"/>
      <c r="AF70" s="141"/>
      <c r="AG70" s="141"/>
      <c r="AH70" s="141"/>
    </row>
    <row r="71" spans="1:34" ht="16.5" hidden="1" customHeight="1" outlineLevel="2" x14ac:dyDescent="0.35">
      <c r="A71" s="154"/>
      <c r="B71" s="222">
        <v>3.12</v>
      </c>
      <c r="C71" s="159" t="s">
        <v>105</v>
      </c>
      <c r="D71" s="162" t="s">
        <v>240</v>
      </c>
      <c r="E71" s="148" t="s">
        <v>283</v>
      </c>
      <c r="F71" s="150" t="s">
        <v>85</v>
      </c>
      <c r="G71" s="152" t="s">
        <v>61</v>
      </c>
      <c r="H71" s="153">
        <v>0</v>
      </c>
      <c r="I71" s="139"/>
      <c r="J71" s="139"/>
      <c r="K71" s="139"/>
      <c r="L71" s="139"/>
      <c r="M71" s="139"/>
      <c r="N71" s="139"/>
      <c r="O71" s="139"/>
      <c r="P71" s="139"/>
      <c r="Q71" s="139"/>
      <c r="R71" s="155"/>
      <c r="S71" s="155"/>
      <c r="T71" s="155"/>
      <c r="U71" s="141"/>
      <c r="V71" s="141"/>
      <c r="W71" s="141"/>
      <c r="X71" s="141"/>
      <c r="Y71" s="141"/>
      <c r="Z71" s="141"/>
      <c r="AA71" s="141"/>
      <c r="AB71" s="141"/>
      <c r="AC71" s="141"/>
      <c r="AD71" s="141"/>
      <c r="AE71" s="141"/>
      <c r="AF71" s="141"/>
      <c r="AG71" s="141"/>
      <c r="AH71" s="141"/>
    </row>
    <row r="72" spans="1:34" ht="15" hidden="1" customHeight="1" outlineLevel="1" x14ac:dyDescent="0.35">
      <c r="A72" s="49"/>
      <c r="B72" s="223" t="s">
        <v>117</v>
      </c>
      <c r="C72" s="166"/>
      <c r="D72" s="166"/>
      <c r="E72" s="166"/>
      <c r="F72" s="166"/>
      <c r="G72" s="166"/>
      <c r="H72" s="77"/>
      <c r="I72" s="77"/>
      <c r="J72" s="77"/>
      <c r="K72" s="77"/>
      <c r="L72" s="77"/>
      <c r="M72" s="77"/>
      <c r="N72" s="77"/>
      <c r="O72" s="77"/>
      <c r="P72" s="77"/>
      <c r="Q72" s="77"/>
      <c r="R72" s="77"/>
      <c r="S72" s="77"/>
      <c r="T72" s="77"/>
      <c r="U72" s="77"/>
      <c r="V72" s="77"/>
      <c r="W72" s="77"/>
      <c r="X72" s="77"/>
      <c r="Y72" s="77"/>
      <c r="Z72" s="77"/>
      <c r="AA72" s="77"/>
      <c r="AB72" s="77"/>
      <c r="AC72" s="77"/>
      <c r="AD72" s="77"/>
      <c r="AE72" s="77"/>
      <c r="AF72" s="77"/>
      <c r="AG72" s="77"/>
      <c r="AH72" s="77"/>
    </row>
    <row r="73" spans="1:34" ht="16.5" hidden="1" customHeight="1" outlineLevel="2" x14ac:dyDescent="0.35">
      <c r="A73" s="50"/>
      <c r="B73" s="219">
        <v>3.13</v>
      </c>
      <c r="C73" s="52" t="s">
        <v>105</v>
      </c>
      <c r="D73" s="53" t="s">
        <v>118</v>
      </c>
      <c r="E73" s="37" t="s">
        <v>119</v>
      </c>
      <c r="F73" s="23" t="s">
        <v>63</v>
      </c>
      <c r="G73" s="38" t="s">
        <v>61</v>
      </c>
      <c r="H73" s="137">
        <v>0</v>
      </c>
      <c r="I73" s="24"/>
      <c r="J73" s="24"/>
      <c r="K73" s="24"/>
      <c r="L73" s="24"/>
      <c r="M73" s="24"/>
      <c r="N73" s="24"/>
      <c r="O73" s="24"/>
      <c r="P73" s="24"/>
      <c r="Q73" s="49"/>
      <c r="R73" s="49"/>
      <c r="S73" s="49"/>
      <c r="T73" s="24"/>
      <c r="U73" s="26"/>
      <c r="V73" s="26"/>
      <c r="W73" s="26"/>
      <c r="X73" s="26"/>
      <c r="Y73" s="26"/>
      <c r="Z73" s="26"/>
      <c r="AA73" s="26"/>
      <c r="AB73" s="26"/>
      <c r="AC73" s="26"/>
      <c r="AD73" s="26"/>
      <c r="AE73" s="26"/>
      <c r="AF73" s="26"/>
      <c r="AG73" s="26"/>
      <c r="AH73" s="26"/>
    </row>
    <row r="74" spans="1:34" ht="16.5" hidden="1" customHeight="1" outlineLevel="2" x14ac:dyDescent="0.35">
      <c r="A74" s="50"/>
      <c r="B74" s="219">
        <v>3.14</v>
      </c>
      <c r="C74" s="52" t="s">
        <v>105</v>
      </c>
      <c r="D74" s="53" t="s">
        <v>118</v>
      </c>
      <c r="E74" s="37" t="s">
        <v>120</v>
      </c>
      <c r="F74" s="23" t="s">
        <v>63</v>
      </c>
      <c r="G74" s="38" t="s">
        <v>61</v>
      </c>
      <c r="H74" s="137">
        <v>0</v>
      </c>
      <c r="I74" s="24"/>
      <c r="J74" s="24"/>
      <c r="K74" s="24"/>
      <c r="L74" s="24"/>
      <c r="M74" s="24"/>
      <c r="N74" s="24"/>
      <c r="O74" s="24"/>
      <c r="P74" s="24"/>
      <c r="Q74" s="24"/>
      <c r="R74" s="49"/>
      <c r="S74" s="49"/>
      <c r="T74" s="24"/>
      <c r="U74" s="26"/>
      <c r="V74" s="26"/>
      <c r="W74" s="26"/>
      <c r="X74" s="26"/>
      <c r="Y74" s="26"/>
      <c r="Z74" s="26"/>
      <c r="AA74" s="26"/>
      <c r="AB74" s="26"/>
      <c r="AC74" s="26"/>
      <c r="AD74" s="26"/>
      <c r="AE74" s="26"/>
      <c r="AF74" s="26"/>
      <c r="AG74" s="26"/>
      <c r="AH74" s="26"/>
    </row>
    <row r="75" spans="1:34" ht="16.5" hidden="1" customHeight="1" outlineLevel="2" x14ac:dyDescent="0.35">
      <c r="A75" s="50"/>
      <c r="B75" s="51">
        <v>3.15</v>
      </c>
      <c r="C75" s="52" t="s">
        <v>105</v>
      </c>
      <c r="D75" s="53" t="s">
        <v>121</v>
      </c>
      <c r="E75" s="37" t="s">
        <v>122</v>
      </c>
      <c r="F75" s="23" t="s">
        <v>60</v>
      </c>
      <c r="G75" s="38" t="s">
        <v>61</v>
      </c>
      <c r="H75" s="137">
        <v>0</v>
      </c>
      <c r="I75" s="24"/>
      <c r="J75" s="24"/>
      <c r="K75" s="24"/>
      <c r="L75" s="24"/>
      <c r="M75" s="24"/>
      <c r="N75" s="24"/>
      <c r="O75" s="24"/>
      <c r="P75" s="24"/>
      <c r="Q75" s="24"/>
      <c r="R75" s="49"/>
      <c r="S75" s="49"/>
      <c r="T75" s="24"/>
      <c r="U75" s="26"/>
      <c r="V75" s="26"/>
      <c r="W75" s="26"/>
      <c r="X75" s="26"/>
      <c r="Y75" s="26"/>
      <c r="Z75" s="26"/>
      <c r="AA75" s="26"/>
      <c r="AB75" s="26"/>
      <c r="AC75" s="26"/>
      <c r="AD75" s="26"/>
      <c r="AE75" s="26"/>
      <c r="AF75" s="26"/>
      <c r="AG75" s="26"/>
      <c r="AH75" s="26"/>
    </row>
    <row r="76" spans="1:34" ht="16.5" hidden="1" customHeight="1" outlineLevel="2" x14ac:dyDescent="0.35">
      <c r="A76" s="50"/>
      <c r="B76" s="51">
        <v>3.16</v>
      </c>
      <c r="C76" s="52" t="s">
        <v>105</v>
      </c>
      <c r="D76" s="53" t="s">
        <v>121</v>
      </c>
      <c r="E76" s="37" t="s">
        <v>241</v>
      </c>
      <c r="F76" s="23" t="s">
        <v>41</v>
      </c>
      <c r="G76" s="38" t="s">
        <v>61</v>
      </c>
      <c r="H76" s="137">
        <v>0</v>
      </c>
      <c r="I76" s="24"/>
      <c r="J76" s="24"/>
      <c r="K76" s="24"/>
      <c r="L76" s="24"/>
      <c r="M76" s="24"/>
      <c r="N76" s="24"/>
      <c r="O76" s="24"/>
      <c r="P76" s="24"/>
      <c r="Q76" s="24"/>
      <c r="R76" s="24"/>
      <c r="S76" s="24"/>
      <c r="T76" s="49"/>
      <c r="U76" s="26"/>
      <c r="V76" s="26"/>
      <c r="W76" s="26"/>
      <c r="X76" s="26"/>
      <c r="Y76" s="26"/>
      <c r="Z76" s="26"/>
      <c r="AA76" s="26"/>
      <c r="AB76" s="26"/>
      <c r="AC76" s="26"/>
      <c r="AD76" s="26"/>
      <c r="AE76" s="26"/>
      <c r="AF76" s="26"/>
      <c r="AG76" s="26"/>
      <c r="AH76" s="26"/>
    </row>
    <row r="77" spans="1:34" ht="16.5" hidden="1" customHeight="1" outlineLevel="2" x14ac:dyDescent="0.35">
      <c r="A77" s="50"/>
      <c r="B77" s="219">
        <v>3.17</v>
      </c>
      <c r="C77" s="52" t="s">
        <v>105</v>
      </c>
      <c r="D77" s="53" t="s">
        <v>123</v>
      </c>
      <c r="E77" s="37" t="s">
        <v>124</v>
      </c>
      <c r="F77" s="23" t="s">
        <v>41</v>
      </c>
      <c r="G77" s="38" t="s">
        <v>61</v>
      </c>
      <c r="H77" s="137">
        <v>0</v>
      </c>
      <c r="I77" s="24"/>
      <c r="J77" s="24"/>
      <c r="K77" s="24"/>
      <c r="L77" s="24"/>
      <c r="M77" s="24"/>
      <c r="N77" s="24"/>
      <c r="O77" s="24"/>
      <c r="P77" s="24"/>
      <c r="Q77" s="24"/>
      <c r="R77" s="24"/>
      <c r="S77" s="49"/>
      <c r="T77" s="49"/>
      <c r="U77" s="26"/>
      <c r="V77" s="26"/>
      <c r="W77" s="26"/>
      <c r="X77" s="26"/>
      <c r="Y77" s="26"/>
      <c r="Z77" s="26"/>
      <c r="AA77" s="26"/>
      <c r="AB77" s="26"/>
      <c r="AC77" s="26"/>
      <c r="AD77" s="26"/>
      <c r="AE77" s="26"/>
      <c r="AF77" s="26"/>
      <c r="AG77" s="26"/>
      <c r="AH77" s="26"/>
    </row>
    <row r="78" spans="1:34" ht="16.5" hidden="1" customHeight="1" outlineLevel="2" x14ac:dyDescent="0.35">
      <c r="A78" s="50"/>
      <c r="B78" s="156">
        <v>3.18</v>
      </c>
      <c r="C78" s="158" t="s">
        <v>105</v>
      </c>
      <c r="D78" s="161" t="s">
        <v>118</v>
      </c>
      <c r="E78" s="147" t="s">
        <v>125</v>
      </c>
      <c r="F78" s="149" t="s">
        <v>63</v>
      </c>
      <c r="G78" s="151" t="s">
        <v>61</v>
      </c>
      <c r="H78" s="137">
        <v>0</v>
      </c>
      <c r="I78" s="24"/>
      <c r="J78" s="24"/>
      <c r="K78" s="24"/>
      <c r="L78" s="24"/>
      <c r="M78" s="24"/>
      <c r="N78" s="24"/>
      <c r="O78" s="24"/>
      <c r="P78" s="24"/>
      <c r="Q78" s="24"/>
      <c r="R78" s="24"/>
      <c r="S78" s="49"/>
      <c r="T78" s="49"/>
      <c r="U78" s="26"/>
      <c r="V78" s="26"/>
      <c r="W78" s="26"/>
      <c r="X78" s="26"/>
      <c r="Y78" s="26"/>
      <c r="Z78" s="26"/>
      <c r="AA78" s="26"/>
      <c r="AB78" s="26"/>
      <c r="AC78" s="26"/>
      <c r="AD78" s="26"/>
      <c r="AE78" s="26"/>
      <c r="AF78" s="26"/>
      <c r="AG78" s="26"/>
      <c r="AH78" s="26"/>
    </row>
    <row r="79" spans="1:34" ht="15" hidden="1" customHeight="1" outlineLevel="1" x14ac:dyDescent="0.35">
      <c r="A79" s="40"/>
      <c r="B79" s="167" t="s">
        <v>126</v>
      </c>
      <c r="C79" s="167"/>
      <c r="D79" s="167"/>
      <c r="E79" s="167"/>
      <c r="F79" s="167"/>
      <c r="G79" s="167"/>
      <c r="H79" s="3"/>
      <c r="I79" s="3"/>
      <c r="J79" s="3"/>
      <c r="K79" s="3"/>
      <c r="L79" s="3"/>
      <c r="M79" s="3"/>
      <c r="N79" s="3"/>
      <c r="O79" s="3"/>
      <c r="P79" s="3"/>
      <c r="Q79" s="3"/>
      <c r="R79" s="3"/>
      <c r="S79" s="3"/>
      <c r="T79" s="3"/>
      <c r="U79" s="3"/>
      <c r="V79" s="3"/>
      <c r="W79" s="3"/>
      <c r="X79" s="3"/>
      <c r="Y79" s="3"/>
      <c r="Z79" s="3"/>
      <c r="AA79" s="3"/>
      <c r="AB79" s="3"/>
      <c r="AC79" s="3"/>
      <c r="AD79" s="3"/>
      <c r="AE79" s="3"/>
      <c r="AF79" s="3"/>
      <c r="AG79" s="3"/>
      <c r="AH79" s="3"/>
    </row>
    <row r="80" spans="1:34" ht="16.5" hidden="1" customHeight="1" outlineLevel="2" x14ac:dyDescent="0.35">
      <c r="A80" s="41"/>
      <c r="B80" s="42" t="s">
        <v>127</v>
      </c>
      <c r="C80" s="54" t="s">
        <v>105</v>
      </c>
      <c r="D80" s="43" t="s">
        <v>42</v>
      </c>
      <c r="E80" s="22" t="s">
        <v>307</v>
      </c>
      <c r="F80" s="23" t="s">
        <v>231</v>
      </c>
      <c r="G80" s="38" t="s">
        <v>61</v>
      </c>
      <c r="H80" s="133"/>
      <c r="I80" s="24"/>
      <c r="J80" s="24"/>
      <c r="K80" s="24"/>
      <c r="L80" s="24"/>
      <c r="M80" s="24"/>
      <c r="N80" s="24"/>
      <c r="O80" s="24"/>
      <c r="P80" s="24"/>
      <c r="Q80" s="24"/>
      <c r="R80" s="24"/>
      <c r="S80" s="24"/>
      <c r="T80" s="28" t="s">
        <v>43</v>
      </c>
      <c r="U80" s="26"/>
      <c r="V80" s="26"/>
      <c r="W80" s="26"/>
      <c r="X80" s="26"/>
      <c r="Y80" s="26"/>
      <c r="Z80" s="26"/>
      <c r="AA80" s="26"/>
      <c r="AB80" s="26"/>
      <c r="AC80" s="26"/>
      <c r="AD80" s="26"/>
      <c r="AE80" s="26"/>
      <c r="AF80" s="26"/>
      <c r="AG80" s="26"/>
      <c r="AH80" s="26"/>
    </row>
    <row r="81" spans="1:34" ht="4.5" customHeight="1" collapsed="1" x14ac:dyDescent="0.35">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row>
    <row r="82" spans="1:34" ht="18" customHeight="1" x14ac:dyDescent="0.35">
      <c r="A82" s="78" t="s">
        <v>217</v>
      </c>
      <c r="B82" s="78"/>
      <c r="C82" s="78"/>
      <c r="D82" s="78"/>
      <c r="E82" s="78"/>
      <c r="F82" s="78"/>
      <c r="G82" s="78"/>
      <c r="H82" s="78"/>
      <c r="I82" s="78"/>
      <c r="J82" s="78"/>
      <c r="K82" s="78"/>
      <c r="L82" s="78"/>
      <c r="M82" s="78"/>
      <c r="N82" s="78"/>
      <c r="O82" s="78"/>
      <c r="P82" s="78"/>
      <c r="Q82" s="78"/>
      <c r="R82" s="78"/>
      <c r="S82" s="78"/>
      <c r="T82" s="78"/>
      <c r="U82" s="78"/>
      <c r="V82" s="78"/>
      <c r="W82" s="78"/>
      <c r="X82" s="78"/>
      <c r="Y82" s="78"/>
      <c r="Z82" s="78"/>
      <c r="AA82" s="78"/>
      <c r="AB82" s="78"/>
      <c r="AC82" s="78"/>
      <c r="AD82" s="78"/>
      <c r="AE82" s="78"/>
      <c r="AF82" s="78"/>
      <c r="AG82" s="78"/>
      <c r="AH82" s="78"/>
    </row>
    <row r="83" spans="1:34" ht="15" hidden="1" customHeight="1" outlineLevel="1" x14ac:dyDescent="0.35">
      <c r="A83" s="55"/>
      <c r="B83" s="79" t="s">
        <v>128</v>
      </c>
      <c r="C83" s="79"/>
      <c r="D83" s="79"/>
      <c r="E83" s="79"/>
      <c r="F83" s="79"/>
      <c r="G83" s="79"/>
      <c r="H83" s="79"/>
      <c r="I83" s="79"/>
      <c r="J83" s="79"/>
      <c r="K83" s="79"/>
      <c r="L83" s="79"/>
      <c r="M83" s="79"/>
      <c r="N83" s="79"/>
      <c r="O83" s="79"/>
      <c r="P83" s="79"/>
      <c r="Q83" s="79"/>
      <c r="R83" s="79"/>
      <c r="S83" s="79"/>
      <c r="T83" s="79"/>
      <c r="U83" s="79"/>
      <c r="V83" s="79"/>
      <c r="W83" s="79"/>
      <c r="X83" s="79"/>
      <c r="Y83" s="79"/>
      <c r="Z83" s="79"/>
      <c r="AA83" s="79"/>
      <c r="AB83" s="79"/>
      <c r="AC83" s="79"/>
      <c r="AD83" s="79"/>
      <c r="AE83" s="79"/>
      <c r="AF83" s="79"/>
      <c r="AG83" s="79"/>
      <c r="AH83" s="79"/>
    </row>
    <row r="84" spans="1:34" ht="16.5" hidden="1" customHeight="1" outlineLevel="2" x14ac:dyDescent="0.35">
      <c r="A84" s="56"/>
      <c r="B84" s="57" t="s">
        <v>129</v>
      </c>
      <c r="C84" s="58" t="s">
        <v>130</v>
      </c>
      <c r="D84" s="59" t="s">
        <v>131</v>
      </c>
      <c r="E84" s="37" t="s">
        <v>132</v>
      </c>
      <c r="F84" s="23" t="s">
        <v>85</v>
      </c>
      <c r="G84" s="38" t="s">
        <v>61</v>
      </c>
      <c r="H84" s="137">
        <v>0</v>
      </c>
      <c r="I84" s="24"/>
      <c r="J84" s="24"/>
      <c r="K84" s="24"/>
      <c r="L84" s="24"/>
      <c r="M84" s="24"/>
      <c r="N84" s="24"/>
      <c r="O84" s="24"/>
      <c r="P84" s="24"/>
      <c r="Q84" s="24"/>
      <c r="R84" s="24"/>
      <c r="S84" s="24"/>
      <c r="T84" s="24"/>
      <c r="U84" s="55"/>
      <c r="V84" s="55"/>
      <c r="W84" s="26"/>
      <c r="X84" s="26"/>
      <c r="Y84" s="26"/>
      <c r="Z84" s="26"/>
      <c r="AA84" s="26"/>
      <c r="AB84" s="26"/>
      <c r="AC84" s="26"/>
      <c r="AD84" s="26"/>
      <c r="AE84" s="26"/>
      <c r="AF84" s="26"/>
      <c r="AG84" s="26"/>
      <c r="AH84" s="26"/>
    </row>
    <row r="85" spans="1:34" ht="16.5" hidden="1" customHeight="1" outlineLevel="2" x14ac:dyDescent="0.35">
      <c r="A85" s="56"/>
      <c r="B85" s="224" t="s">
        <v>133</v>
      </c>
      <c r="C85" s="58" t="s">
        <v>130</v>
      </c>
      <c r="D85" s="59" t="s">
        <v>131</v>
      </c>
      <c r="E85" s="37" t="s">
        <v>284</v>
      </c>
      <c r="F85" s="23" t="s">
        <v>85</v>
      </c>
      <c r="G85" s="38" t="s">
        <v>61</v>
      </c>
      <c r="H85" s="137">
        <v>0</v>
      </c>
      <c r="I85" s="24"/>
      <c r="J85" s="24"/>
      <c r="K85" s="24"/>
      <c r="L85" s="24"/>
      <c r="M85" s="24"/>
      <c r="N85" s="24"/>
      <c r="O85" s="24"/>
      <c r="P85" s="24"/>
      <c r="Q85" s="24"/>
      <c r="R85" s="24"/>
      <c r="S85" s="24"/>
      <c r="T85" s="24"/>
      <c r="U85" s="55"/>
      <c r="V85" s="55"/>
      <c r="W85" s="55"/>
      <c r="X85" s="26"/>
      <c r="Y85" s="26"/>
      <c r="Z85" s="26"/>
      <c r="AA85" s="26"/>
      <c r="AB85" s="26"/>
      <c r="AC85" s="26"/>
      <c r="AD85" s="26"/>
      <c r="AE85" s="26"/>
      <c r="AF85" s="26"/>
      <c r="AG85" s="26"/>
      <c r="AH85" s="26"/>
    </row>
    <row r="86" spans="1:34" ht="16.5" hidden="1" customHeight="1" outlineLevel="2" x14ac:dyDescent="0.35">
      <c r="A86" s="56"/>
      <c r="B86" s="224" t="s">
        <v>134</v>
      </c>
      <c r="C86" s="58" t="s">
        <v>130</v>
      </c>
      <c r="D86" s="59" t="s">
        <v>131</v>
      </c>
      <c r="E86" s="37" t="s">
        <v>285</v>
      </c>
      <c r="F86" s="23" t="s">
        <v>85</v>
      </c>
      <c r="G86" s="38" t="s">
        <v>61</v>
      </c>
      <c r="H86" s="137">
        <v>0</v>
      </c>
      <c r="I86" s="24"/>
      <c r="J86" s="24"/>
      <c r="K86" s="24"/>
      <c r="L86" s="24"/>
      <c r="M86" s="24"/>
      <c r="N86" s="24"/>
      <c r="O86" s="24"/>
      <c r="P86" s="24"/>
      <c r="Q86" s="24"/>
      <c r="R86" s="24"/>
      <c r="S86" s="24"/>
      <c r="T86" s="24"/>
      <c r="U86" s="26"/>
      <c r="V86" s="55"/>
      <c r="W86" s="55"/>
      <c r="X86" s="26"/>
      <c r="Y86" s="26"/>
      <c r="Z86" s="26"/>
      <c r="AA86" s="26"/>
      <c r="AB86" s="26"/>
      <c r="AC86" s="26"/>
      <c r="AD86" s="26"/>
      <c r="AE86" s="26"/>
      <c r="AF86" s="26"/>
      <c r="AG86" s="26"/>
      <c r="AH86" s="26"/>
    </row>
    <row r="87" spans="1:34" ht="16.5" hidden="1" customHeight="1" outlineLevel="2" x14ac:dyDescent="0.35">
      <c r="A87" s="56"/>
      <c r="B87" s="224" t="s">
        <v>135</v>
      </c>
      <c r="C87" s="58" t="s">
        <v>130</v>
      </c>
      <c r="D87" s="59" t="s">
        <v>131</v>
      </c>
      <c r="E87" s="37" t="s">
        <v>286</v>
      </c>
      <c r="F87" s="23" t="s">
        <v>85</v>
      </c>
      <c r="G87" s="38" t="s">
        <v>61</v>
      </c>
      <c r="H87" s="137">
        <v>0</v>
      </c>
      <c r="I87" s="24"/>
      <c r="J87" s="24"/>
      <c r="K87" s="24"/>
      <c r="L87" s="24"/>
      <c r="M87" s="24"/>
      <c r="N87" s="24"/>
      <c r="O87" s="24"/>
      <c r="P87" s="24"/>
      <c r="Q87" s="24"/>
      <c r="R87" s="24"/>
      <c r="S87" s="24"/>
      <c r="T87" s="24"/>
      <c r="U87" s="26"/>
      <c r="V87" s="55"/>
      <c r="W87" s="55"/>
      <c r="X87" s="55"/>
      <c r="Y87" s="26"/>
      <c r="Z87" s="26"/>
      <c r="AA87" s="26"/>
      <c r="AB87" s="26"/>
      <c r="AC87" s="26"/>
      <c r="AD87" s="26"/>
      <c r="AE87" s="26"/>
      <c r="AF87" s="26"/>
      <c r="AG87" s="26"/>
      <c r="AH87" s="26"/>
    </row>
    <row r="88" spans="1:34" ht="16.5" hidden="1" customHeight="1" outlineLevel="2" x14ac:dyDescent="0.35">
      <c r="A88" s="56"/>
      <c r="B88" s="224" t="s">
        <v>136</v>
      </c>
      <c r="C88" s="58" t="s">
        <v>130</v>
      </c>
      <c r="D88" s="59" t="s">
        <v>131</v>
      </c>
      <c r="E88" s="37" t="s">
        <v>287</v>
      </c>
      <c r="F88" s="23" t="s">
        <v>85</v>
      </c>
      <c r="G88" s="38" t="s">
        <v>61</v>
      </c>
      <c r="H88" s="137">
        <v>0</v>
      </c>
      <c r="I88" s="24"/>
      <c r="J88" s="24"/>
      <c r="K88" s="24"/>
      <c r="L88" s="24"/>
      <c r="M88" s="24"/>
      <c r="N88" s="24"/>
      <c r="O88" s="24"/>
      <c r="P88" s="24"/>
      <c r="Q88" s="24"/>
      <c r="R88" s="24"/>
      <c r="S88" s="24"/>
      <c r="T88" s="24"/>
      <c r="U88" s="26"/>
      <c r="V88" s="26"/>
      <c r="W88" s="55"/>
      <c r="X88" s="55"/>
      <c r="Y88" s="26"/>
      <c r="Z88" s="26"/>
      <c r="AA88" s="26"/>
      <c r="AB88" s="26"/>
      <c r="AC88" s="26"/>
      <c r="AD88" s="26"/>
      <c r="AE88" s="26"/>
      <c r="AF88" s="26"/>
      <c r="AG88" s="26"/>
      <c r="AH88" s="26"/>
    </row>
    <row r="89" spans="1:34" ht="16.5" hidden="1" customHeight="1" outlineLevel="2" x14ac:dyDescent="0.35">
      <c r="A89" s="56"/>
      <c r="B89" s="224" t="s">
        <v>137</v>
      </c>
      <c r="C89" s="58" t="s">
        <v>130</v>
      </c>
      <c r="D89" s="59" t="s">
        <v>131</v>
      </c>
      <c r="E89" s="37" t="s">
        <v>288</v>
      </c>
      <c r="F89" s="23" t="s">
        <v>85</v>
      </c>
      <c r="G89" s="38" t="s">
        <v>61</v>
      </c>
      <c r="H89" s="137">
        <v>0</v>
      </c>
      <c r="I89" s="24"/>
      <c r="J89" s="24"/>
      <c r="K89" s="24"/>
      <c r="L89" s="24"/>
      <c r="M89" s="24"/>
      <c r="N89" s="24"/>
      <c r="O89" s="24"/>
      <c r="P89" s="24"/>
      <c r="Q89" s="24"/>
      <c r="R89" s="24"/>
      <c r="S89" s="24"/>
      <c r="T89" s="24"/>
      <c r="U89" s="26"/>
      <c r="V89" s="26"/>
      <c r="W89" s="26"/>
      <c r="X89" s="55"/>
      <c r="Y89" s="26"/>
      <c r="Z89" s="26"/>
      <c r="AA89" s="26"/>
      <c r="AB89" s="26"/>
      <c r="AC89" s="26"/>
      <c r="AD89" s="26"/>
      <c r="AE89" s="26"/>
      <c r="AF89" s="26"/>
      <c r="AG89" s="26"/>
      <c r="AH89" s="26"/>
    </row>
    <row r="90" spans="1:34" ht="15" hidden="1" customHeight="1" outlineLevel="1" x14ac:dyDescent="0.35">
      <c r="A90" s="55"/>
      <c r="B90" s="225" t="s">
        <v>138</v>
      </c>
      <c r="C90" s="79"/>
      <c r="D90" s="79"/>
      <c r="E90" s="79"/>
      <c r="F90" s="79"/>
      <c r="G90" s="79"/>
      <c r="H90" s="79"/>
      <c r="I90" s="79"/>
      <c r="J90" s="79"/>
      <c r="K90" s="79"/>
      <c r="L90" s="79"/>
      <c r="M90" s="79"/>
      <c r="N90" s="79"/>
      <c r="O90" s="79"/>
      <c r="P90" s="79"/>
      <c r="Q90" s="79"/>
      <c r="R90" s="79"/>
      <c r="S90" s="79"/>
      <c r="T90" s="79"/>
      <c r="U90" s="79"/>
      <c r="V90" s="79"/>
      <c r="W90" s="79"/>
      <c r="X90" s="79"/>
      <c r="Y90" s="79"/>
      <c r="Z90" s="79"/>
      <c r="AA90" s="79"/>
      <c r="AB90" s="79"/>
      <c r="AC90" s="79"/>
      <c r="AD90" s="79"/>
      <c r="AE90" s="79"/>
      <c r="AF90" s="79"/>
      <c r="AG90" s="79"/>
      <c r="AH90" s="79"/>
    </row>
    <row r="91" spans="1:34" ht="16.5" hidden="1" customHeight="1" outlineLevel="2" x14ac:dyDescent="0.35">
      <c r="A91" s="56"/>
      <c r="B91" s="224" t="s">
        <v>139</v>
      </c>
      <c r="C91" s="58" t="s">
        <v>130</v>
      </c>
      <c r="D91" s="59" t="s">
        <v>140</v>
      </c>
      <c r="E91" s="37" t="s">
        <v>141</v>
      </c>
      <c r="F91" s="23" t="s">
        <v>63</v>
      </c>
      <c r="G91" s="38" t="s">
        <v>61</v>
      </c>
      <c r="H91" s="137">
        <v>0</v>
      </c>
      <c r="I91" s="24"/>
      <c r="J91" s="24"/>
      <c r="K91" s="24"/>
      <c r="L91" s="24"/>
      <c r="M91" s="24"/>
      <c r="N91" s="24"/>
      <c r="O91" s="24"/>
      <c r="P91" s="24"/>
      <c r="Q91" s="24"/>
      <c r="R91" s="24"/>
      <c r="S91" s="24"/>
      <c r="T91" s="24"/>
      <c r="U91" s="55"/>
      <c r="V91" s="55"/>
      <c r="W91" s="26"/>
      <c r="X91" s="26"/>
      <c r="Y91" s="26"/>
      <c r="Z91" s="26"/>
      <c r="AA91" s="26"/>
      <c r="AB91" s="26"/>
      <c r="AC91" s="26"/>
      <c r="AD91" s="26"/>
      <c r="AE91" s="26"/>
      <c r="AF91" s="26"/>
      <c r="AG91" s="26"/>
      <c r="AH91" s="26"/>
    </row>
    <row r="92" spans="1:34" ht="16.5" hidden="1" customHeight="1" outlineLevel="2" x14ac:dyDescent="0.35">
      <c r="A92" s="56"/>
      <c r="B92" s="57" t="s">
        <v>142</v>
      </c>
      <c r="C92" s="58" t="s">
        <v>130</v>
      </c>
      <c r="D92" s="59" t="s">
        <v>140</v>
      </c>
      <c r="E92" s="37" t="s">
        <v>143</v>
      </c>
      <c r="F92" s="23" t="s">
        <v>63</v>
      </c>
      <c r="G92" s="38" t="s">
        <v>61</v>
      </c>
      <c r="H92" s="137">
        <v>0</v>
      </c>
      <c r="I92" s="24"/>
      <c r="J92" s="24"/>
      <c r="K92" s="24"/>
      <c r="L92" s="24"/>
      <c r="M92" s="24"/>
      <c r="N92" s="24"/>
      <c r="O92" s="24"/>
      <c r="P92" s="24"/>
      <c r="Q92" s="24"/>
      <c r="R92" s="24"/>
      <c r="S92" s="24"/>
      <c r="T92" s="24"/>
      <c r="U92" s="55"/>
      <c r="V92" s="55"/>
      <c r="W92" s="55"/>
      <c r="X92" s="26"/>
      <c r="Y92" s="26"/>
      <c r="Z92" s="26"/>
      <c r="AA92" s="26"/>
      <c r="AB92" s="26"/>
      <c r="AC92" s="26"/>
      <c r="AD92" s="26"/>
      <c r="AE92" s="26"/>
      <c r="AF92" s="26"/>
      <c r="AG92" s="26"/>
      <c r="AH92" s="26"/>
    </row>
    <row r="93" spans="1:34" ht="16.5" hidden="1" customHeight="1" outlineLevel="2" x14ac:dyDescent="0.35">
      <c r="A93" s="56"/>
      <c r="B93" s="57" t="s">
        <v>144</v>
      </c>
      <c r="C93" s="58" t="s">
        <v>130</v>
      </c>
      <c r="D93" s="59" t="s">
        <v>140</v>
      </c>
      <c r="E93" s="37" t="s">
        <v>145</v>
      </c>
      <c r="F93" s="23" t="s">
        <v>63</v>
      </c>
      <c r="G93" s="38" t="s">
        <v>61</v>
      </c>
      <c r="H93" s="137">
        <v>0</v>
      </c>
      <c r="I93" s="24"/>
      <c r="J93" s="24"/>
      <c r="K93" s="24"/>
      <c r="L93" s="24"/>
      <c r="M93" s="24"/>
      <c r="N93" s="24"/>
      <c r="O93" s="24"/>
      <c r="P93" s="24"/>
      <c r="Q93" s="24"/>
      <c r="R93" s="24"/>
      <c r="S93" s="24"/>
      <c r="T93" s="24"/>
      <c r="U93" s="26"/>
      <c r="V93" s="55"/>
      <c r="W93" s="55"/>
      <c r="X93" s="55"/>
      <c r="Y93" s="26"/>
      <c r="Z93" s="26"/>
      <c r="AA93" s="26"/>
      <c r="AB93" s="26"/>
      <c r="AC93" s="26"/>
      <c r="AD93" s="26"/>
      <c r="AE93" s="26"/>
      <c r="AF93" s="26"/>
      <c r="AG93" s="26"/>
      <c r="AH93" s="26"/>
    </row>
    <row r="94" spans="1:34" ht="16.5" hidden="1" customHeight="1" outlineLevel="2" x14ac:dyDescent="0.35">
      <c r="A94" s="56"/>
      <c r="B94" s="57" t="s">
        <v>146</v>
      </c>
      <c r="C94" s="58" t="s">
        <v>130</v>
      </c>
      <c r="D94" s="59" t="s">
        <v>140</v>
      </c>
      <c r="E94" s="37" t="s">
        <v>147</v>
      </c>
      <c r="F94" s="23" t="s">
        <v>63</v>
      </c>
      <c r="G94" s="38" t="s">
        <v>61</v>
      </c>
      <c r="H94" s="137">
        <v>0</v>
      </c>
      <c r="I94" s="24"/>
      <c r="J94" s="24"/>
      <c r="K94" s="24"/>
      <c r="L94" s="24"/>
      <c r="M94" s="24"/>
      <c r="N94" s="24"/>
      <c r="O94" s="24"/>
      <c r="P94" s="24"/>
      <c r="Q94" s="24"/>
      <c r="R94" s="24"/>
      <c r="S94" s="24"/>
      <c r="T94" s="24"/>
      <c r="U94" s="26"/>
      <c r="V94" s="26"/>
      <c r="W94" s="55"/>
      <c r="X94" s="55"/>
      <c r="Y94" s="26"/>
      <c r="Z94" s="26"/>
      <c r="AA94" s="26"/>
      <c r="AB94" s="26"/>
      <c r="AC94" s="26"/>
      <c r="AD94" s="26"/>
      <c r="AE94" s="26"/>
      <c r="AF94" s="26"/>
      <c r="AG94" s="26"/>
      <c r="AH94" s="26"/>
    </row>
    <row r="95" spans="1:34" ht="15" hidden="1" customHeight="1" outlineLevel="1" x14ac:dyDescent="0.35">
      <c r="A95" s="40"/>
      <c r="B95" s="3" t="s">
        <v>148</v>
      </c>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row>
    <row r="96" spans="1:34" ht="16.5" hidden="1" customHeight="1" outlineLevel="2" x14ac:dyDescent="0.35">
      <c r="A96" s="41"/>
      <c r="B96" s="42" t="s">
        <v>149</v>
      </c>
      <c r="C96" s="60" t="s">
        <v>130</v>
      </c>
      <c r="D96" s="43" t="s">
        <v>42</v>
      </c>
      <c r="E96" s="22" t="s">
        <v>150</v>
      </c>
      <c r="F96" s="23" t="s">
        <v>231</v>
      </c>
      <c r="G96" s="38" t="s">
        <v>61</v>
      </c>
      <c r="H96" s="133"/>
      <c r="I96" s="24"/>
      <c r="J96" s="24"/>
      <c r="K96" s="24"/>
      <c r="L96" s="24"/>
      <c r="M96" s="24"/>
      <c r="N96" s="24"/>
      <c r="O96" s="24"/>
      <c r="P96" s="24"/>
      <c r="Q96" s="24"/>
      <c r="R96" s="24"/>
      <c r="S96" s="24"/>
      <c r="T96" s="24"/>
      <c r="U96" s="26"/>
      <c r="V96" s="26"/>
      <c r="W96" s="26"/>
      <c r="X96" s="29" t="s">
        <v>43</v>
      </c>
      <c r="Y96" s="26"/>
      <c r="Z96" s="26"/>
      <c r="AA96" s="26"/>
      <c r="AB96" s="26"/>
      <c r="AC96" s="26"/>
      <c r="AD96" s="26"/>
      <c r="AE96" s="26"/>
      <c r="AF96" s="26"/>
      <c r="AG96" s="26"/>
      <c r="AH96" s="26"/>
    </row>
    <row r="97" spans="1:34" ht="4.5" customHeight="1" collapsed="1" x14ac:dyDescent="0.35">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row>
    <row r="98" spans="1:34" ht="18" customHeight="1" x14ac:dyDescent="0.35">
      <c r="A98" s="80" t="s">
        <v>218</v>
      </c>
      <c r="B98" s="80"/>
      <c r="C98" s="80"/>
      <c r="D98" s="80"/>
      <c r="E98" s="80"/>
      <c r="F98" s="80"/>
      <c r="G98" s="80"/>
      <c r="H98" s="80"/>
      <c r="I98" s="80"/>
      <c r="J98" s="80"/>
      <c r="K98" s="80"/>
      <c r="L98" s="80"/>
      <c r="M98" s="80"/>
      <c r="N98" s="80"/>
      <c r="O98" s="80"/>
      <c r="P98" s="80"/>
      <c r="Q98" s="80"/>
      <c r="R98" s="80"/>
      <c r="S98" s="80"/>
      <c r="T98" s="80"/>
      <c r="U98" s="80"/>
      <c r="V98" s="80"/>
      <c r="W98" s="80"/>
      <c r="X98" s="80"/>
      <c r="Y98" s="80"/>
      <c r="Z98" s="80"/>
      <c r="AA98" s="80"/>
      <c r="AB98" s="80"/>
      <c r="AC98" s="80"/>
      <c r="AD98" s="80"/>
      <c r="AE98" s="80"/>
      <c r="AF98" s="80"/>
      <c r="AG98" s="80"/>
      <c r="AH98" s="80"/>
    </row>
    <row r="99" spans="1:34" ht="15" hidden="1" customHeight="1" outlineLevel="1" x14ac:dyDescent="0.35">
      <c r="A99" s="61"/>
      <c r="B99" s="81" t="s">
        <v>151</v>
      </c>
      <c r="C99" s="81"/>
      <c r="D99" s="81"/>
      <c r="E99" s="81"/>
      <c r="F99" s="81"/>
      <c r="G99" s="81"/>
      <c r="H99" s="81"/>
      <c r="I99" s="81"/>
      <c r="J99" s="81"/>
      <c r="K99" s="81"/>
      <c r="L99" s="81"/>
      <c r="M99" s="81"/>
      <c r="N99" s="81"/>
      <c r="O99" s="81"/>
      <c r="P99" s="81"/>
      <c r="Q99" s="81"/>
      <c r="R99" s="81"/>
      <c r="S99" s="81"/>
      <c r="T99" s="81"/>
      <c r="U99" s="81"/>
      <c r="V99" s="81"/>
      <c r="W99" s="81"/>
      <c r="X99" s="81"/>
      <c r="Y99" s="81"/>
      <c r="Z99" s="81"/>
      <c r="AA99" s="81"/>
      <c r="AB99" s="81"/>
      <c r="AC99" s="81"/>
      <c r="AD99" s="81"/>
      <c r="AE99" s="81"/>
      <c r="AF99" s="81"/>
      <c r="AG99" s="81"/>
      <c r="AH99" s="81"/>
    </row>
    <row r="100" spans="1:34" ht="16.5" hidden="1" customHeight="1" outlineLevel="2" x14ac:dyDescent="0.35">
      <c r="A100" s="62"/>
      <c r="B100" s="226" t="s">
        <v>152</v>
      </c>
      <c r="C100" s="64" t="s">
        <v>153</v>
      </c>
      <c r="D100" s="65" t="s">
        <v>302</v>
      </c>
      <c r="E100" s="37" t="s">
        <v>289</v>
      </c>
      <c r="F100" s="23" t="s">
        <v>60</v>
      </c>
      <c r="G100" s="38" t="s">
        <v>61</v>
      </c>
      <c r="H100" s="137">
        <v>0</v>
      </c>
      <c r="I100" s="24"/>
      <c r="J100" s="24"/>
      <c r="K100" s="24"/>
      <c r="L100" s="24"/>
      <c r="M100" s="24"/>
      <c r="N100" s="24"/>
      <c r="O100" s="24"/>
      <c r="P100" s="24"/>
      <c r="Q100" s="24"/>
      <c r="R100" s="24"/>
      <c r="S100" s="24"/>
      <c r="T100" s="24"/>
      <c r="U100" s="26"/>
      <c r="V100" s="26"/>
      <c r="W100" s="26"/>
      <c r="X100" s="26"/>
      <c r="Y100" s="61"/>
      <c r="Z100" s="61"/>
      <c r="AA100" s="26"/>
      <c r="AB100" s="26"/>
      <c r="AC100" s="26"/>
      <c r="AD100" s="26"/>
      <c r="AE100" s="26"/>
      <c r="AF100" s="26"/>
      <c r="AG100" s="26"/>
      <c r="AH100" s="26"/>
    </row>
    <row r="101" spans="1:34" ht="16.5" hidden="1" customHeight="1" outlineLevel="2" x14ac:dyDescent="0.35">
      <c r="A101" s="62"/>
      <c r="B101" s="226" t="s">
        <v>155</v>
      </c>
      <c r="C101" s="64" t="s">
        <v>153</v>
      </c>
      <c r="D101" s="65" t="s">
        <v>154</v>
      </c>
      <c r="E101" s="37" t="s">
        <v>156</v>
      </c>
      <c r="F101" s="23" t="s">
        <v>60</v>
      </c>
      <c r="G101" s="38" t="s">
        <v>61</v>
      </c>
      <c r="H101" s="137">
        <v>0</v>
      </c>
      <c r="I101" s="24"/>
      <c r="J101" s="24"/>
      <c r="K101" s="24"/>
      <c r="L101" s="24"/>
      <c r="M101" s="24"/>
      <c r="N101" s="24"/>
      <c r="O101" s="24"/>
      <c r="P101" s="24"/>
      <c r="Q101" s="24"/>
      <c r="R101" s="24"/>
      <c r="S101" s="24"/>
      <c r="T101" s="24"/>
      <c r="U101" s="26"/>
      <c r="V101" s="26"/>
      <c r="W101" s="26"/>
      <c r="X101" s="26"/>
      <c r="Y101" s="61"/>
      <c r="Z101" s="61"/>
      <c r="AA101" s="61"/>
      <c r="AB101" s="26"/>
      <c r="AC101" s="26"/>
      <c r="AD101" s="26"/>
      <c r="AE101" s="26"/>
      <c r="AF101" s="26"/>
      <c r="AG101" s="26"/>
      <c r="AH101" s="26"/>
    </row>
    <row r="102" spans="1:34" ht="16.5" hidden="1" customHeight="1" outlineLevel="2" x14ac:dyDescent="0.35">
      <c r="A102" s="62"/>
      <c r="B102" s="226" t="s">
        <v>157</v>
      </c>
      <c r="C102" s="64" t="s">
        <v>153</v>
      </c>
      <c r="D102" s="65" t="s">
        <v>154</v>
      </c>
      <c r="E102" s="37" t="s">
        <v>158</v>
      </c>
      <c r="F102" s="23" t="s">
        <v>60</v>
      </c>
      <c r="G102" s="38" t="s">
        <v>61</v>
      </c>
      <c r="H102" s="137">
        <v>0</v>
      </c>
      <c r="I102" s="24"/>
      <c r="J102" s="24"/>
      <c r="K102" s="24"/>
      <c r="L102" s="24"/>
      <c r="M102" s="24"/>
      <c r="N102" s="24"/>
      <c r="O102" s="24"/>
      <c r="P102" s="24"/>
      <c r="Q102" s="24"/>
      <c r="R102" s="24"/>
      <c r="S102" s="24"/>
      <c r="T102" s="24"/>
      <c r="U102" s="26"/>
      <c r="V102" s="26"/>
      <c r="W102" s="26"/>
      <c r="X102" s="26"/>
      <c r="Y102" s="26"/>
      <c r="Z102" s="61"/>
      <c r="AA102" s="61"/>
      <c r="AB102" s="26"/>
      <c r="AC102" s="26"/>
      <c r="AD102" s="26"/>
      <c r="AE102" s="26"/>
      <c r="AF102" s="26"/>
      <c r="AG102" s="26"/>
      <c r="AH102" s="26"/>
    </row>
    <row r="103" spans="1:34" ht="16.5" hidden="1" customHeight="1" outlineLevel="2" x14ac:dyDescent="0.35">
      <c r="A103" s="62"/>
      <c r="B103" s="226" t="s">
        <v>159</v>
      </c>
      <c r="C103" s="64" t="s">
        <v>153</v>
      </c>
      <c r="D103" s="65" t="s">
        <v>154</v>
      </c>
      <c r="E103" s="37" t="s">
        <v>160</v>
      </c>
      <c r="F103" s="23" t="s">
        <v>85</v>
      </c>
      <c r="G103" s="38" t="s">
        <v>61</v>
      </c>
      <c r="H103" s="137">
        <v>0</v>
      </c>
      <c r="I103" s="24"/>
      <c r="J103" s="24"/>
      <c r="K103" s="24"/>
      <c r="L103" s="24"/>
      <c r="M103" s="24"/>
      <c r="N103" s="24"/>
      <c r="O103" s="24"/>
      <c r="P103" s="24"/>
      <c r="Q103" s="24"/>
      <c r="R103" s="24"/>
      <c r="S103" s="24"/>
      <c r="T103" s="24"/>
      <c r="U103" s="26"/>
      <c r="V103" s="26"/>
      <c r="W103" s="26"/>
      <c r="X103" s="26"/>
      <c r="Y103" s="26"/>
      <c r="Z103" s="26"/>
      <c r="AA103" s="61"/>
      <c r="AB103" s="61"/>
      <c r="AC103" s="26"/>
      <c r="AD103" s="26"/>
      <c r="AE103" s="26"/>
      <c r="AF103" s="26"/>
      <c r="AG103" s="26"/>
      <c r="AH103" s="26"/>
    </row>
    <row r="104" spans="1:34" ht="16.5" hidden="1" customHeight="1" outlineLevel="2" x14ac:dyDescent="0.35">
      <c r="A104" s="62"/>
      <c r="B104" s="63" t="s">
        <v>161</v>
      </c>
      <c r="C104" s="64" t="s">
        <v>153</v>
      </c>
      <c r="D104" s="65" t="s">
        <v>154</v>
      </c>
      <c r="E104" s="37" t="s">
        <v>162</v>
      </c>
      <c r="F104" s="23" t="s">
        <v>60</v>
      </c>
      <c r="G104" s="38" t="s">
        <v>61</v>
      </c>
      <c r="H104" s="137">
        <v>0</v>
      </c>
      <c r="I104" s="24"/>
      <c r="J104" s="24"/>
      <c r="K104" s="24"/>
      <c r="L104" s="24"/>
      <c r="M104" s="24"/>
      <c r="N104" s="24"/>
      <c r="O104" s="24"/>
      <c r="P104" s="24"/>
      <c r="Q104" s="24"/>
      <c r="R104" s="24"/>
      <c r="S104" s="24"/>
      <c r="T104" s="24"/>
      <c r="U104" s="26"/>
      <c r="V104" s="26"/>
      <c r="W104" s="26"/>
      <c r="X104" s="26"/>
      <c r="Y104" s="26"/>
      <c r="Z104" s="61"/>
      <c r="AA104" s="61"/>
      <c r="AB104" s="61"/>
      <c r="AC104" s="26"/>
      <c r="AD104" s="26"/>
      <c r="AE104" s="26"/>
      <c r="AF104" s="26"/>
      <c r="AG104" s="26"/>
      <c r="AH104" s="26"/>
    </row>
    <row r="105" spans="1:34" ht="15" hidden="1" customHeight="1" outlineLevel="1" x14ac:dyDescent="0.35">
      <c r="A105" s="40"/>
      <c r="B105" s="3" t="s">
        <v>163</v>
      </c>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row>
    <row r="106" spans="1:34" ht="16.5" hidden="1" customHeight="1" outlineLevel="2" x14ac:dyDescent="0.35">
      <c r="A106" s="41"/>
      <c r="B106" s="227" t="s">
        <v>164</v>
      </c>
      <c r="C106" s="66" t="s">
        <v>153</v>
      </c>
      <c r="D106" s="43" t="s">
        <v>42</v>
      </c>
      <c r="E106" s="22" t="s">
        <v>165</v>
      </c>
      <c r="F106" s="23" t="s">
        <v>231</v>
      </c>
      <c r="G106" s="38" t="s">
        <v>61</v>
      </c>
      <c r="H106" s="133"/>
      <c r="I106" s="24"/>
      <c r="J106" s="24"/>
      <c r="K106" s="24"/>
      <c r="L106" s="24"/>
      <c r="M106" s="24"/>
      <c r="N106" s="24"/>
      <c r="O106" s="24"/>
      <c r="P106" s="24"/>
      <c r="Q106" s="24"/>
      <c r="R106" s="24"/>
      <c r="S106" s="24"/>
      <c r="T106" s="24"/>
      <c r="U106" s="26"/>
      <c r="V106" s="26"/>
      <c r="W106" s="26"/>
      <c r="X106" s="26"/>
      <c r="Y106" s="26"/>
      <c r="Z106" s="26"/>
      <c r="AA106" s="26"/>
      <c r="AB106" s="30" t="s">
        <v>43</v>
      </c>
      <c r="AC106" s="26"/>
      <c r="AD106" s="26"/>
      <c r="AE106" s="26"/>
      <c r="AF106" s="26"/>
      <c r="AG106" s="26"/>
      <c r="AH106" s="26"/>
    </row>
    <row r="107" spans="1:34" ht="4.5" customHeight="1" collapsed="1" x14ac:dyDescent="0.35">
      <c r="A107" s="6"/>
      <c r="B107" s="228"/>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row>
    <row r="108" spans="1:34" ht="18" customHeight="1" x14ac:dyDescent="0.35">
      <c r="A108" s="82" t="s">
        <v>219</v>
      </c>
      <c r="B108" s="229"/>
      <c r="C108" s="82"/>
      <c r="D108" s="82"/>
      <c r="E108" s="82"/>
      <c r="F108" s="82"/>
      <c r="G108" s="82"/>
      <c r="H108" s="82"/>
      <c r="I108" s="82"/>
      <c r="J108" s="82"/>
      <c r="K108" s="82"/>
      <c r="L108" s="82"/>
      <c r="M108" s="82"/>
      <c r="N108" s="82"/>
      <c r="O108" s="82"/>
      <c r="P108" s="82"/>
      <c r="Q108" s="82"/>
      <c r="R108" s="82"/>
      <c r="S108" s="82"/>
      <c r="T108" s="82"/>
      <c r="U108" s="82"/>
      <c r="V108" s="82"/>
      <c r="W108" s="82"/>
      <c r="X108" s="82"/>
      <c r="Y108" s="82"/>
      <c r="Z108" s="82"/>
      <c r="AA108" s="82"/>
      <c r="AB108" s="82"/>
      <c r="AC108" s="82"/>
      <c r="AD108" s="82"/>
      <c r="AE108" s="82"/>
      <c r="AF108" s="82"/>
      <c r="AG108" s="82"/>
      <c r="AH108" s="82"/>
    </row>
    <row r="109" spans="1:34" ht="15" hidden="1" customHeight="1" outlineLevel="1" x14ac:dyDescent="0.35">
      <c r="A109" s="67"/>
      <c r="B109" s="230" t="s">
        <v>166</v>
      </c>
      <c r="C109" s="83"/>
      <c r="D109" s="83"/>
      <c r="E109" s="83"/>
      <c r="F109" s="83"/>
      <c r="G109" s="83"/>
      <c r="H109" s="83"/>
      <c r="I109" s="83"/>
      <c r="J109" s="83"/>
      <c r="K109" s="83"/>
      <c r="L109" s="83"/>
      <c r="M109" s="83"/>
      <c r="N109" s="83"/>
      <c r="O109" s="83"/>
      <c r="P109" s="83"/>
      <c r="Q109" s="83"/>
      <c r="R109" s="83"/>
      <c r="S109" s="83"/>
      <c r="T109" s="83"/>
      <c r="U109" s="83"/>
      <c r="V109" s="83"/>
      <c r="W109" s="83"/>
      <c r="X109" s="83"/>
      <c r="Y109" s="83"/>
      <c r="Z109" s="83"/>
      <c r="AA109" s="83"/>
      <c r="AB109" s="83"/>
      <c r="AC109" s="83"/>
      <c r="AD109" s="83"/>
      <c r="AE109" s="83"/>
      <c r="AF109" s="83"/>
      <c r="AG109" s="83"/>
      <c r="AH109" s="83"/>
    </row>
    <row r="110" spans="1:34" ht="16.5" hidden="1" customHeight="1" outlineLevel="2" x14ac:dyDescent="0.35">
      <c r="A110" s="19"/>
      <c r="B110" s="231" t="s">
        <v>167</v>
      </c>
      <c r="C110" s="31" t="s">
        <v>168</v>
      </c>
      <c r="D110" s="21" t="s">
        <v>169</v>
      </c>
      <c r="E110" s="37" t="s">
        <v>170</v>
      </c>
      <c r="F110" s="23" t="s">
        <v>63</v>
      </c>
      <c r="G110" s="38" t="s">
        <v>61</v>
      </c>
      <c r="H110" s="137">
        <v>0</v>
      </c>
      <c r="I110" s="24"/>
      <c r="J110" s="24"/>
      <c r="K110" s="24"/>
      <c r="L110" s="24"/>
      <c r="M110" s="24"/>
      <c r="N110" s="24"/>
      <c r="O110" s="24"/>
      <c r="P110" s="24"/>
      <c r="Q110" s="24"/>
      <c r="R110" s="24"/>
      <c r="S110" s="24"/>
      <c r="T110" s="24"/>
      <c r="U110" s="26"/>
      <c r="V110" s="26"/>
      <c r="W110" s="26"/>
      <c r="X110" s="26"/>
      <c r="Y110" s="26"/>
      <c r="Z110" s="26"/>
      <c r="AA110" s="26"/>
      <c r="AB110" s="26"/>
      <c r="AC110" s="67"/>
      <c r="AD110" s="67"/>
      <c r="AE110" s="67"/>
      <c r="AF110" s="26"/>
      <c r="AG110" s="26"/>
      <c r="AH110" s="26"/>
    </row>
    <row r="111" spans="1:34" ht="16.5" hidden="1" customHeight="1" outlineLevel="2" x14ac:dyDescent="0.35">
      <c r="A111" s="19"/>
      <c r="B111" s="231" t="s">
        <v>171</v>
      </c>
      <c r="C111" s="31" t="s">
        <v>168</v>
      </c>
      <c r="D111" s="21" t="s">
        <v>169</v>
      </c>
      <c r="E111" s="37" t="s">
        <v>172</v>
      </c>
      <c r="F111" s="23" t="s">
        <v>63</v>
      </c>
      <c r="G111" s="38" t="s">
        <v>61</v>
      </c>
      <c r="H111" s="137">
        <v>0</v>
      </c>
      <c r="I111" s="24"/>
      <c r="J111" s="24"/>
      <c r="K111" s="24"/>
      <c r="L111" s="24"/>
      <c r="M111" s="24"/>
      <c r="N111" s="24"/>
      <c r="O111" s="24"/>
      <c r="P111" s="24"/>
      <c r="Q111" s="24"/>
      <c r="R111" s="24"/>
      <c r="S111" s="24"/>
      <c r="T111" s="24"/>
      <c r="U111" s="26"/>
      <c r="V111" s="26"/>
      <c r="W111" s="26"/>
      <c r="X111" s="26"/>
      <c r="Y111" s="26"/>
      <c r="Z111" s="26"/>
      <c r="AA111" s="26"/>
      <c r="AB111" s="26"/>
      <c r="AC111" s="67"/>
      <c r="AD111" s="67"/>
      <c r="AE111" s="67"/>
      <c r="AF111" s="26"/>
      <c r="AG111" s="26"/>
      <c r="AH111" s="26"/>
    </row>
    <row r="112" spans="1:34" ht="16.5" hidden="1" customHeight="1" outlineLevel="2" x14ac:dyDescent="0.35">
      <c r="A112" s="19"/>
      <c r="B112" s="20" t="s">
        <v>173</v>
      </c>
      <c r="C112" s="31" t="s">
        <v>168</v>
      </c>
      <c r="D112" s="21" t="s">
        <v>169</v>
      </c>
      <c r="E112" s="37" t="s">
        <v>174</v>
      </c>
      <c r="F112" s="23" t="s">
        <v>63</v>
      </c>
      <c r="G112" s="38" t="s">
        <v>61</v>
      </c>
      <c r="H112" s="137">
        <v>0</v>
      </c>
      <c r="I112" s="24"/>
      <c r="J112" s="24"/>
      <c r="K112" s="24"/>
      <c r="L112" s="24"/>
      <c r="M112" s="24"/>
      <c r="N112" s="24"/>
      <c r="O112" s="24"/>
      <c r="P112" s="24"/>
      <c r="Q112" s="24"/>
      <c r="R112" s="24"/>
      <c r="S112" s="24"/>
      <c r="T112" s="24"/>
      <c r="U112" s="26"/>
      <c r="V112" s="26"/>
      <c r="W112" s="26"/>
      <c r="X112" s="26"/>
      <c r="Y112" s="26"/>
      <c r="Z112" s="26"/>
      <c r="AA112" s="26"/>
      <c r="AB112" s="26"/>
      <c r="AC112" s="26"/>
      <c r="AD112" s="67"/>
      <c r="AE112" s="67"/>
      <c r="AF112" s="67"/>
      <c r="AG112" s="26"/>
      <c r="AH112" s="26"/>
    </row>
    <row r="113" spans="1:34" ht="16.5" hidden="1" customHeight="1" outlineLevel="2" x14ac:dyDescent="0.35">
      <c r="A113" s="19"/>
      <c r="B113" s="20" t="s">
        <v>175</v>
      </c>
      <c r="C113" s="31" t="s">
        <v>168</v>
      </c>
      <c r="D113" s="21" t="s">
        <v>169</v>
      </c>
      <c r="E113" s="37" t="s">
        <v>176</v>
      </c>
      <c r="F113" s="23" t="s">
        <v>63</v>
      </c>
      <c r="G113" s="38" t="s">
        <v>61</v>
      </c>
      <c r="H113" s="137">
        <v>0</v>
      </c>
      <c r="I113" s="24"/>
      <c r="J113" s="24"/>
      <c r="K113" s="24"/>
      <c r="L113" s="24"/>
      <c r="M113" s="24"/>
      <c r="N113" s="24"/>
      <c r="O113" s="24"/>
      <c r="P113" s="24"/>
      <c r="Q113" s="24"/>
      <c r="R113" s="24"/>
      <c r="S113" s="24"/>
      <c r="T113" s="24"/>
      <c r="U113" s="26"/>
      <c r="V113" s="26"/>
      <c r="W113" s="26"/>
      <c r="X113" s="26"/>
      <c r="Y113" s="26"/>
      <c r="Z113" s="26"/>
      <c r="AA113" s="26"/>
      <c r="AB113" s="26"/>
      <c r="AC113" s="26"/>
      <c r="AD113" s="26"/>
      <c r="AE113" s="67"/>
      <c r="AF113" s="67"/>
      <c r="AG113" s="67"/>
      <c r="AH113" s="26"/>
    </row>
    <row r="114" spans="1:34" ht="16.5" hidden="1" customHeight="1" outlineLevel="2" x14ac:dyDescent="0.35">
      <c r="A114" s="19"/>
      <c r="B114" s="20" t="s">
        <v>177</v>
      </c>
      <c r="C114" s="31" t="s">
        <v>168</v>
      </c>
      <c r="D114" s="21" t="s">
        <v>169</v>
      </c>
      <c r="E114" s="37" t="s">
        <v>178</v>
      </c>
      <c r="F114" s="23" t="s">
        <v>63</v>
      </c>
      <c r="G114" s="38" t="s">
        <v>61</v>
      </c>
      <c r="H114" s="137">
        <v>0</v>
      </c>
      <c r="I114" s="24"/>
      <c r="J114" s="24"/>
      <c r="K114" s="24"/>
      <c r="L114" s="24"/>
      <c r="M114" s="24"/>
      <c r="N114" s="24"/>
      <c r="O114" s="24"/>
      <c r="P114" s="24"/>
      <c r="Q114" s="24"/>
      <c r="R114" s="24"/>
      <c r="S114" s="24"/>
      <c r="T114" s="24"/>
      <c r="U114" s="26"/>
      <c r="V114" s="26"/>
      <c r="W114" s="26"/>
      <c r="X114" s="26"/>
      <c r="Y114" s="26"/>
      <c r="Z114" s="26"/>
      <c r="AA114" s="26"/>
      <c r="AB114" s="26"/>
      <c r="AC114" s="26"/>
      <c r="AD114" s="26"/>
      <c r="AE114" s="26"/>
      <c r="AF114" s="67"/>
      <c r="AG114" s="67"/>
      <c r="AH114" s="67"/>
    </row>
    <row r="115" spans="1:34" ht="15" hidden="1" customHeight="1" outlineLevel="1" x14ac:dyDescent="0.35">
      <c r="A115" s="67"/>
      <c r="B115" s="83" t="s">
        <v>179</v>
      </c>
      <c r="C115" s="83"/>
      <c r="D115" s="83"/>
      <c r="E115" s="83"/>
      <c r="F115" s="83"/>
      <c r="G115" s="83"/>
      <c r="H115" s="83"/>
      <c r="I115" s="83"/>
      <c r="J115" s="83"/>
      <c r="K115" s="83"/>
      <c r="L115" s="83"/>
      <c r="M115" s="83"/>
      <c r="N115" s="83"/>
      <c r="O115" s="83"/>
      <c r="P115" s="83"/>
      <c r="Q115" s="83"/>
      <c r="R115" s="83"/>
      <c r="S115" s="83"/>
      <c r="T115" s="83"/>
      <c r="U115" s="83"/>
      <c r="V115" s="83"/>
      <c r="W115" s="83"/>
      <c r="X115" s="83"/>
      <c r="Y115" s="83"/>
      <c r="Z115" s="83"/>
      <c r="AA115" s="83"/>
      <c r="AB115" s="83"/>
      <c r="AC115" s="83"/>
      <c r="AD115" s="83"/>
      <c r="AE115" s="83"/>
      <c r="AF115" s="83"/>
      <c r="AG115" s="83"/>
      <c r="AH115" s="83"/>
    </row>
    <row r="116" spans="1:34" ht="16.5" hidden="1" customHeight="1" outlineLevel="2" x14ac:dyDescent="0.35">
      <c r="A116" s="19"/>
      <c r="B116" s="231" t="s">
        <v>180</v>
      </c>
      <c r="C116" s="31" t="s">
        <v>168</v>
      </c>
      <c r="D116" s="21" t="s">
        <v>302</v>
      </c>
      <c r="E116" s="37" t="s">
        <v>290</v>
      </c>
      <c r="F116" s="23" t="s">
        <v>60</v>
      </c>
      <c r="G116" s="38" t="s">
        <v>61</v>
      </c>
      <c r="H116" s="137">
        <v>0</v>
      </c>
      <c r="I116" s="24"/>
      <c r="J116" s="24"/>
      <c r="K116" s="24"/>
      <c r="L116" s="24"/>
      <c r="M116" s="24"/>
      <c r="N116" s="24"/>
      <c r="O116" s="24"/>
      <c r="P116" s="24"/>
      <c r="Q116" s="24"/>
      <c r="R116" s="24"/>
      <c r="S116" s="24"/>
      <c r="T116" s="24"/>
      <c r="U116" s="26"/>
      <c r="V116" s="26"/>
      <c r="W116" s="26"/>
      <c r="X116" s="26"/>
      <c r="Y116" s="26"/>
      <c r="Z116" s="26"/>
      <c r="AA116" s="26"/>
      <c r="AB116" s="26"/>
      <c r="AC116" s="67"/>
      <c r="AD116" s="67"/>
      <c r="AE116" s="67"/>
      <c r="AF116" s="26"/>
      <c r="AG116" s="26"/>
      <c r="AH116" s="26"/>
    </row>
    <row r="117" spans="1:34" ht="16.5" hidden="1" customHeight="1" outlineLevel="2" x14ac:dyDescent="0.35">
      <c r="A117" s="19"/>
      <c r="B117" s="20" t="s">
        <v>182</v>
      </c>
      <c r="C117" s="31" t="s">
        <v>168</v>
      </c>
      <c r="D117" s="21" t="s">
        <v>181</v>
      </c>
      <c r="E117" s="37" t="s">
        <v>183</v>
      </c>
      <c r="F117" s="23" t="s">
        <v>60</v>
      </c>
      <c r="G117" s="38" t="s">
        <v>61</v>
      </c>
      <c r="H117" s="137">
        <v>0</v>
      </c>
      <c r="I117" s="24"/>
      <c r="J117" s="24"/>
      <c r="K117" s="24"/>
      <c r="L117" s="24"/>
      <c r="M117" s="24"/>
      <c r="N117" s="24"/>
      <c r="O117" s="24"/>
      <c r="P117" s="24"/>
      <c r="Q117" s="24"/>
      <c r="R117" s="24"/>
      <c r="S117" s="24"/>
      <c r="T117" s="24"/>
      <c r="U117" s="26"/>
      <c r="V117" s="26"/>
      <c r="W117" s="26"/>
      <c r="X117" s="26"/>
      <c r="Y117" s="26"/>
      <c r="Z117" s="26"/>
      <c r="AA117" s="26"/>
      <c r="AB117" s="26"/>
      <c r="AC117" s="26"/>
      <c r="AD117" s="67"/>
      <c r="AE117" s="67"/>
      <c r="AF117" s="67"/>
      <c r="AG117" s="26"/>
      <c r="AH117" s="26"/>
    </row>
    <row r="118" spans="1:34" ht="16.5" hidden="1" customHeight="1" outlineLevel="2" x14ac:dyDescent="0.35">
      <c r="A118" s="19"/>
      <c r="B118" s="20" t="s">
        <v>184</v>
      </c>
      <c r="C118" s="31" t="s">
        <v>168</v>
      </c>
      <c r="D118" s="21" t="s">
        <v>181</v>
      </c>
      <c r="E118" s="37" t="s">
        <v>185</v>
      </c>
      <c r="F118" s="23" t="s">
        <v>85</v>
      </c>
      <c r="G118" s="38" t="s">
        <v>61</v>
      </c>
      <c r="H118" s="137">
        <v>0</v>
      </c>
      <c r="I118" s="24"/>
      <c r="J118" s="24"/>
      <c r="K118" s="24"/>
      <c r="L118" s="24"/>
      <c r="M118" s="24"/>
      <c r="N118" s="24"/>
      <c r="O118" s="24"/>
      <c r="P118" s="24"/>
      <c r="Q118" s="24"/>
      <c r="R118" s="24"/>
      <c r="S118" s="24"/>
      <c r="T118" s="24"/>
      <c r="U118" s="26"/>
      <c r="V118" s="26"/>
      <c r="W118" s="26"/>
      <c r="X118" s="26"/>
      <c r="Y118" s="26"/>
      <c r="Z118" s="26"/>
      <c r="AA118" s="26"/>
      <c r="AB118" s="26"/>
      <c r="AC118" s="26"/>
      <c r="AD118" s="26"/>
      <c r="AE118" s="26"/>
      <c r="AF118" s="67"/>
      <c r="AG118" s="67"/>
      <c r="AH118" s="67"/>
    </row>
    <row r="119" spans="1:34" ht="16.5" hidden="1" customHeight="1" outlineLevel="2" x14ac:dyDescent="0.35">
      <c r="A119" s="19"/>
      <c r="B119" s="20" t="s">
        <v>186</v>
      </c>
      <c r="C119" s="31" t="s">
        <v>168</v>
      </c>
      <c r="D119" s="21" t="s">
        <v>181</v>
      </c>
      <c r="E119" s="37" t="s">
        <v>187</v>
      </c>
      <c r="F119" s="23" t="s">
        <v>60</v>
      </c>
      <c r="G119" s="38" t="s">
        <v>61</v>
      </c>
      <c r="H119" s="137">
        <v>0</v>
      </c>
      <c r="I119" s="24"/>
      <c r="J119" s="24"/>
      <c r="K119" s="24"/>
      <c r="L119" s="24"/>
      <c r="M119" s="24"/>
      <c r="N119" s="24"/>
      <c r="O119" s="24"/>
      <c r="P119" s="24"/>
      <c r="Q119" s="24"/>
      <c r="R119" s="24"/>
      <c r="S119" s="24"/>
      <c r="T119" s="24"/>
      <c r="U119" s="26"/>
      <c r="V119" s="26"/>
      <c r="W119" s="26"/>
      <c r="X119" s="26"/>
      <c r="Y119" s="26"/>
      <c r="Z119" s="26"/>
      <c r="AA119" s="26"/>
      <c r="AB119" s="26"/>
      <c r="AC119" s="26"/>
      <c r="AD119" s="26"/>
      <c r="AE119" s="26"/>
      <c r="AF119" s="26"/>
      <c r="AG119" s="67"/>
      <c r="AH119" s="67"/>
    </row>
    <row r="120" spans="1:34" ht="15" hidden="1" customHeight="1" outlineLevel="1" x14ac:dyDescent="0.35">
      <c r="A120" s="40"/>
      <c r="B120" s="3" t="s">
        <v>188</v>
      </c>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row>
    <row r="121" spans="1:34" ht="16.5" hidden="1" customHeight="1" outlineLevel="2" x14ac:dyDescent="0.35">
      <c r="A121" s="41"/>
      <c r="B121" s="42" t="s">
        <v>189</v>
      </c>
      <c r="C121" s="68" t="s">
        <v>168</v>
      </c>
      <c r="D121" s="43" t="s">
        <v>42</v>
      </c>
      <c r="E121" s="22" t="s">
        <v>190</v>
      </c>
      <c r="F121" s="23" t="s">
        <v>231</v>
      </c>
      <c r="G121" s="38" t="s">
        <v>61</v>
      </c>
      <c r="H121" s="133"/>
      <c r="I121" s="24"/>
      <c r="J121" s="24"/>
      <c r="K121" s="24"/>
      <c r="L121" s="24"/>
      <c r="M121" s="24"/>
      <c r="N121" s="24"/>
      <c r="O121" s="24"/>
      <c r="P121" s="24"/>
      <c r="Q121" s="24"/>
      <c r="R121" s="24"/>
      <c r="S121" s="24"/>
      <c r="T121" s="24"/>
      <c r="U121" s="26"/>
      <c r="V121" s="26"/>
      <c r="W121" s="26"/>
      <c r="X121" s="26"/>
      <c r="Y121" s="26"/>
      <c r="Z121" s="26"/>
      <c r="AA121" s="26"/>
      <c r="AB121" s="26"/>
      <c r="AC121" s="26"/>
      <c r="AD121" s="26"/>
      <c r="AE121" s="26"/>
      <c r="AF121" s="26"/>
      <c r="AG121" s="26"/>
      <c r="AH121" s="32" t="s">
        <v>43</v>
      </c>
    </row>
    <row r="122" spans="1:34" ht="4.5" customHeight="1" collapsed="1" x14ac:dyDescent="0.3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row>
    <row r="123" spans="1:34" ht="18" customHeight="1" x14ac:dyDescent="0.35">
      <c r="A123" s="84" t="s">
        <v>191</v>
      </c>
      <c r="B123" s="84"/>
      <c r="C123" s="84"/>
      <c r="D123" s="84"/>
      <c r="E123" s="84"/>
      <c r="F123" s="84"/>
      <c r="G123" s="84"/>
      <c r="H123" s="84"/>
      <c r="I123" s="84"/>
      <c r="J123" s="84"/>
      <c r="K123" s="84"/>
      <c r="L123" s="84"/>
      <c r="M123" s="84"/>
      <c r="N123" s="84"/>
      <c r="O123" s="84"/>
      <c r="P123" s="84"/>
      <c r="Q123" s="84"/>
      <c r="R123" s="84"/>
      <c r="S123" s="84"/>
      <c r="T123" s="84"/>
      <c r="U123" s="84"/>
      <c r="V123" s="84"/>
      <c r="W123" s="84"/>
      <c r="X123" s="84"/>
      <c r="Y123" s="84"/>
      <c r="Z123" s="84"/>
      <c r="AA123" s="84"/>
      <c r="AB123" s="84"/>
      <c r="AC123" s="84"/>
      <c r="AD123" s="84"/>
      <c r="AE123" s="84"/>
      <c r="AF123" s="84"/>
      <c r="AG123" s="84"/>
      <c r="AH123" s="84"/>
    </row>
    <row r="124" spans="1:34" ht="15" hidden="1" customHeight="1" outlineLevel="1" x14ac:dyDescent="0.35">
      <c r="A124" s="69"/>
      <c r="B124" s="85" t="s">
        <v>192</v>
      </c>
      <c r="C124" s="85"/>
      <c r="D124" s="85"/>
      <c r="E124" s="85"/>
      <c r="F124" s="85"/>
      <c r="G124" s="85"/>
      <c r="H124" s="85"/>
      <c r="I124" s="85"/>
      <c r="J124" s="85"/>
      <c r="K124" s="85"/>
      <c r="L124" s="85"/>
      <c r="M124" s="85"/>
      <c r="N124" s="85"/>
      <c r="O124" s="85"/>
      <c r="P124" s="85"/>
      <c r="Q124" s="85"/>
      <c r="R124" s="85"/>
      <c r="S124" s="85"/>
      <c r="T124" s="85"/>
      <c r="U124" s="85"/>
      <c r="V124" s="85"/>
      <c r="W124" s="85"/>
      <c r="X124" s="85"/>
      <c r="Y124" s="85"/>
      <c r="Z124" s="85"/>
      <c r="AA124" s="85"/>
      <c r="AB124" s="85"/>
      <c r="AC124" s="85"/>
      <c r="AD124" s="85"/>
      <c r="AE124" s="85"/>
      <c r="AF124" s="85"/>
      <c r="AG124" s="85"/>
      <c r="AH124" s="85"/>
    </row>
    <row r="125" spans="1:34" ht="16.5" hidden="1" customHeight="1" outlineLevel="3" x14ac:dyDescent="0.35">
      <c r="A125" s="70"/>
      <c r="B125" s="232" t="s">
        <v>193</v>
      </c>
      <c r="C125" s="71" t="s">
        <v>118</v>
      </c>
      <c r="D125" s="72" t="s">
        <v>194</v>
      </c>
      <c r="E125" s="37" t="s">
        <v>195</v>
      </c>
      <c r="F125" s="23" t="s">
        <v>63</v>
      </c>
      <c r="G125" s="39" t="s">
        <v>73</v>
      </c>
      <c r="H125" s="137">
        <v>0.25</v>
      </c>
      <c r="I125" s="69"/>
      <c r="J125" s="69"/>
      <c r="K125" s="69"/>
      <c r="L125" s="69"/>
      <c r="M125" s="69"/>
      <c r="N125" s="69"/>
      <c r="O125" s="69"/>
      <c r="P125" s="69"/>
      <c r="Q125" s="69"/>
      <c r="R125" s="69"/>
      <c r="S125" s="69"/>
      <c r="T125" s="69"/>
      <c r="U125" s="69"/>
      <c r="V125" s="69"/>
      <c r="W125" s="69"/>
      <c r="X125" s="69"/>
      <c r="Y125" s="69"/>
      <c r="Z125" s="69"/>
      <c r="AA125" s="69"/>
      <c r="AB125" s="69"/>
      <c r="AC125" s="69"/>
      <c r="AD125" s="69"/>
      <c r="AE125" s="69"/>
      <c r="AF125" s="69"/>
      <c r="AG125" s="69"/>
      <c r="AH125" s="69"/>
    </row>
    <row r="126" spans="1:34" ht="16.5" hidden="1" customHeight="1" outlineLevel="3" x14ac:dyDescent="0.35">
      <c r="A126" s="70"/>
      <c r="B126" s="232" t="s">
        <v>196</v>
      </c>
      <c r="C126" s="73" t="s">
        <v>118</v>
      </c>
      <c r="D126" s="72" t="s">
        <v>194</v>
      </c>
      <c r="E126" s="37" t="s">
        <v>197</v>
      </c>
      <c r="F126" s="23" t="s">
        <v>63</v>
      </c>
      <c r="G126" s="38" t="s">
        <v>61</v>
      </c>
      <c r="H126" s="137">
        <v>0</v>
      </c>
      <c r="I126" s="24"/>
      <c r="J126" s="33"/>
      <c r="K126" s="33"/>
      <c r="L126" s="33"/>
      <c r="M126" s="24"/>
      <c r="N126" s="24"/>
      <c r="O126" s="24"/>
      <c r="P126" s="24"/>
      <c r="Q126" s="24"/>
      <c r="R126" s="24"/>
      <c r="S126" s="24"/>
      <c r="T126" s="24"/>
      <c r="U126" s="26"/>
      <c r="V126" s="26"/>
      <c r="W126" s="26"/>
      <c r="X126" s="26"/>
      <c r="Y126" s="26"/>
      <c r="Z126" s="26"/>
      <c r="AA126" s="26"/>
      <c r="AB126" s="26"/>
      <c r="AC126" s="26"/>
      <c r="AD126" s="26"/>
      <c r="AE126" s="26"/>
      <c r="AF126" s="26"/>
      <c r="AG126" s="26"/>
      <c r="AH126" s="26"/>
    </row>
    <row r="127" spans="1:34" ht="16.5" hidden="1" customHeight="1" outlineLevel="3" x14ac:dyDescent="0.35">
      <c r="A127" s="70"/>
      <c r="B127" s="232" t="s">
        <v>198</v>
      </c>
      <c r="C127" s="74" t="s">
        <v>118</v>
      </c>
      <c r="D127" s="72" t="s">
        <v>194</v>
      </c>
      <c r="E127" s="37" t="s">
        <v>199</v>
      </c>
      <c r="F127" s="23" t="s">
        <v>63</v>
      </c>
      <c r="G127" s="38" t="s">
        <v>61</v>
      </c>
      <c r="H127" s="137">
        <v>0</v>
      </c>
      <c r="I127" s="24"/>
      <c r="J127" s="24"/>
      <c r="K127" s="44"/>
      <c r="L127" s="44"/>
      <c r="M127" s="44"/>
      <c r="N127" s="24"/>
      <c r="O127" s="24"/>
      <c r="P127" s="24"/>
      <c r="Q127" s="24"/>
      <c r="R127" s="24"/>
      <c r="S127" s="24"/>
      <c r="T127" s="24"/>
      <c r="U127" s="26"/>
      <c r="V127" s="26"/>
      <c r="W127" s="26"/>
      <c r="X127" s="26"/>
      <c r="Y127" s="26"/>
      <c r="Z127" s="26"/>
      <c r="AA127" s="26"/>
      <c r="AB127" s="26"/>
      <c r="AC127" s="26"/>
      <c r="AD127" s="26"/>
      <c r="AE127" s="26"/>
      <c r="AF127" s="26"/>
      <c r="AG127" s="26"/>
      <c r="AH127" s="26"/>
    </row>
    <row r="128" spans="1:34" ht="16.5" hidden="1" customHeight="1" outlineLevel="3" x14ac:dyDescent="0.35">
      <c r="A128" s="70"/>
      <c r="B128" s="232" t="s">
        <v>200</v>
      </c>
      <c r="C128" s="74" t="s">
        <v>118</v>
      </c>
      <c r="D128" s="72" t="s">
        <v>194</v>
      </c>
      <c r="E128" s="37" t="s">
        <v>201</v>
      </c>
      <c r="F128" s="23" t="s">
        <v>63</v>
      </c>
      <c r="G128" s="38" t="s">
        <v>61</v>
      </c>
      <c r="H128" s="137">
        <v>0</v>
      </c>
      <c r="I128" s="24"/>
      <c r="J128" s="24"/>
      <c r="K128" s="24"/>
      <c r="L128" s="24"/>
      <c r="M128" s="24"/>
      <c r="N128" s="44"/>
      <c r="O128" s="44"/>
      <c r="P128" s="44"/>
      <c r="Q128" s="24"/>
      <c r="R128" s="24"/>
      <c r="S128" s="24"/>
      <c r="T128" s="24"/>
      <c r="U128" s="26"/>
      <c r="V128" s="26"/>
      <c r="W128" s="26"/>
      <c r="X128" s="26"/>
      <c r="Y128" s="26"/>
      <c r="Z128" s="26"/>
      <c r="AA128" s="26"/>
      <c r="AB128" s="26"/>
      <c r="AC128" s="26"/>
      <c r="AD128" s="26"/>
      <c r="AE128" s="26"/>
      <c r="AF128" s="26"/>
      <c r="AG128" s="26"/>
      <c r="AH128" s="26"/>
    </row>
    <row r="129" spans="1:34" ht="16.5" hidden="1" customHeight="1" outlineLevel="3" x14ac:dyDescent="0.35">
      <c r="A129" s="70"/>
      <c r="B129" s="232" t="s">
        <v>202</v>
      </c>
      <c r="C129" s="74" t="s">
        <v>118</v>
      </c>
      <c r="D129" s="72" t="s">
        <v>203</v>
      </c>
      <c r="E129" s="37" t="s">
        <v>204</v>
      </c>
      <c r="F129" s="23" t="s">
        <v>63</v>
      </c>
      <c r="G129" s="38" t="s">
        <v>61</v>
      </c>
      <c r="H129" s="137">
        <v>0</v>
      </c>
      <c r="I129" s="24"/>
      <c r="J129" s="24"/>
      <c r="K129" s="24"/>
      <c r="L129" s="44"/>
      <c r="M129" s="44"/>
      <c r="N129" s="44"/>
      <c r="O129" s="24"/>
      <c r="P129" s="24"/>
      <c r="Q129" s="24"/>
      <c r="R129" s="24"/>
      <c r="S129" s="24"/>
      <c r="T129" s="24"/>
      <c r="U129" s="26"/>
      <c r="V129" s="26"/>
      <c r="W129" s="26"/>
      <c r="X129" s="26"/>
      <c r="Y129" s="26"/>
      <c r="Z129" s="26"/>
      <c r="AA129" s="26"/>
      <c r="AB129" s="26"/>
      <c r="AC129" s="26"/>
      <c r="AD129" s="26"/>
      <c r="AE129" s="26"/>
      <c r="AF129" s="26"/>
      <c r="AG129" s="26"/>
      <c r="AH129" s="26"/>
    </row>
    <row r="130" spans="1:34" ht="16.5" hidden="1" customHeight="1" outlineLevel="3" x14ac:dyDescent="0.35">
      <c r="A130" s="70"/>
      <c r="B130" s="232" t="s">
        <v>205</v>
      </c>
      <c r="C130" s="73" t="s">
        <v>118</v>
      </c>
      <c r="D130" s="72" t="s">
        <v>203</v>
      </c>
      <c r="E130" s="37" t="s">
        <v>206</v>
      </c>
      <c r="F130" s="23" t="s">
        <v>63</v>
      </c>
      <c r="G130" s="38" t="s">
        <v>61</v>
      </c>
      <c r="H130" s="137">
        <v>0</v>
      </c>
      <c r="I130" s="24"/>
      <c r="J130" s="33"/>
      <c r="K130" s="33"/>
      <c r="L130" s="24"/>
      <c r="M130" s="24"/>
      <c r="N130" s="24"/>
      <c r="O130" s="24"/>
      <c r="P130" s="24"/>
      <c r="Q130" s="24"/>
      <c r="R130" s="24"/>
      <c r="S130" s="24"/>
      <c r="T130" s="24"/>
      <c r="U130" s="26"/>
      <c r="V130" s="26"/>
      <c r="W130" s="26"/>
      <c r="X130" s="26"/>
      <c r="Y130" s="26"/>
      <c r="Z130" s="26"/>
      <c r="AA130" s="26"/>
      <c r="AB130" s="26"/>
      <c r="AC130" s="26"/>
      <c r="AD130" s="26"/>
      <c r="AE130" s="26"/>
      <c r="AF130" s="26"/>
      <c r="AG130" s="26"/>
      <c r="AH130" s="26"/>
    </row>
    <row r="131" spans="1:34" ht="16.5" hidden="1" customHeight="1" outlineLevel="3" x14ac:dyDescent="0.35">
      <c r="A131" s="70"/>
      <c r="B131" s="232" t="s">
        <v>207</v>
      </c>
      <c r="C131" s="73" t="s">
        <v>118</v>
      </c>
      <c r="D131" s="72" t="s">
        <v>208</v>
      </c>
      <c r="E131" s="37" t="s">
        <v>209</v>
      </c>
      <c r="F131" s="23" t="s">
        <v>63</v>
      </c>
      <c r="G131" s="38" t="s">
        <v>61</v>
      </c>
      <c r="H131" s="137">
        <v>0</v>
      </c>
      <c r="I131" s="24"/>
      <c r="J131" s="24"/>
      <c r="K131" s="33"/>
      <c r="L131" s="33"/>
      <c r="M131" s="24"/>
      <c r="N131" s="24"/>
      <c r="O131" s="24"/>
      <c r="P131" s="24"/>
      <c r="Q131" s="24"/>
      <c r="R131" s="24"/>
      <c r="S131" s="24"/>
      <c r="T131" s="24"/>
      <c r="U131" s="26"/>
      <c r="V131" s="26"/>
      <c r="W131" s="26"/>
      <c r="X131" s="26"/>
      <c r="Y131" s="26"/>
      <c r="Z131" s="26"/>
      <c r="AA131" s="26"/>
      <c r="AB131" s="26"/>
      <c r="AC131" s="26"/>
      <c r="AD131" s="26"/>
      <c r="AE131" s="26"/>
      <c r="AF131" s="26"/>
      <c r="AG131" s="26"/>
      <c r="AH131" s="26"/>
    </row>
    <row r="132" spans="1:34" ht="16.5" hidden="1" customHeight="1" outlineLevel="3" x14ac:dyDescent="0.35">
      <c r="A132" s="70"/>
      <c r="B132" s="232" t="s">
        <v>210</v>
      </c>
      <c r="C132" s="74" t="s">
        <v>118</v>
      </c>
      <c r="D132" s="72" t="s">
        <v>121</v>
      </c>
      <c r="E132" s="37" t="s">
        <v>211</v>
      </c>
      <c r="F132" s="23" t="s">
        <v>63</v>
      </c>
      <c r="G132" s="39" t="s">
        <v>73</v>
      </c>
      <c r="H132" s="137">
        <v>0.25</v>
      </c>
      <c r="I132" s="44"/>
      <c r="J132" s="44"/>
      <c r="K132" s="44"/>
      <c r="L132" s="44"/>
      <c r="M132" s="44"/>
      <c r="N132" s="44"/>
      <c r="O132" s="44"/>
      <c r="P132" s="44"/>
      <c r="Q132" s="44"/>
      <c r="R132" s="44"/>
      <c r="S132" s="44"/>
      <c r="T132" s="44"/>
      <c r="U132" s="26"/>
      <c r="V132" s="26"/>
      <c r="W132" s="26"/>
      <c r="X132" s="26"/>
      <c r="Y132" s="26"/>
      <c r="Z132" s="26"/>
      <c r="AA132" s="26"/>
      <c r="AB132" s="26"/>
      <c r="AC132" s="26"/>
      <c r="AD132" s="26"/>
      <c r="AE132" s="26"/>
      <c r="AF132" s="26"/>
      <c r="AG132" s="26"/>
      <c r="AH132" s="26"/>
    </row>
    <row r="133" spans="1:34" ht="16.5" hidden="1" customHeight="1" outlineLevel="3" x14ac:dyDescent="0.35">
      <c r="A133" s="70"/>
      <c r="B133" s="232" t="s">
        <v>212</v>
      </c>
      <c r="C133" s="75" t="s">
        <v>118</v>
      </c>
      <c r="D133" s="72" t="s">
        <v>121</v>
      </c>
      <c r="E133" s="37" t="s">
        <v>213</v>
      </c>
      <c r="F133" s="23" t="s">
        <v>85</v>
      </c>
      <c r="G133" s="38" t="s">
        <v>61</v>
      </c>
      <c r="H133" s="137">
        <v>0</v>
      </c>
      <c r="I133" s="24"/>
      <c r="J133" s="24"/>
      <c r="K133" s="24"/>
      <c r="L133" s="24"/>
      <c r="M133" s="24"/>
      <c r="N133" s="24"/>
      <c r="O133" s="49"/>
      <c r="P133" s="49"/>
      <c r="Q133" s="49"/>
      <c r="R133" s="49"/>
      <c r="S133" s="24"/>
      <c r="T133" s="24"/>
      <c r="U133" s="26"/>
      <c r="V133" s="26"/>
      <c r="W133" s="26"/>
      <c r="X133" s="26"/>
      <c r="Y133" s="26"/>
      <c r="Z133" s="26"/>
      <c r="AA133" s="26"/>
      <c r="AB133" s="26"/>
      <c r="AC133" s="26"/>
      <c r="AD133" s="26"/>
      <c r="AE133" s="26"/>
      <c r="AF133" s="26"/>
      <c r="AG133" s="26"/>
      <c r="AH133" s="26"/>
    </row>
    <row r="134" spans="1:34" ht="4.5" customHeight="1" collapsed="1" x14ac:dyDescent="0.3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row>
    <row r="135" spans="1:34" ht="4.5" customHeight="1" collapsed="1" x14ac:dyDescent="0.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row>
  </sheetData>
  <autoFilter ref="B3:H135" xr:uid="{00000000-0001-0000-0000-000000000000}"/>
  <mergeCells count="44">
    <mergeCell ref="A123:AH123"/>
    <mergeCell ref="B124:AH124"/>
    <mergeCell ref="A134:AH134"/>
    <mergeCell ref="A135:AH135"/>
    <mergeCell ref="A108:AH108"/>
    <mergeCell ref="B109:AH109"/>
    <mergeCell ref="B115:AH115"/>
    <mergeCell ref="B120:AH120"/>
    <mergeCell ref="A122:AH122"/>
    <mergeCell ref="A97:AH97"/>
    <mergeCell ref="A98:AH98"/>
    <mergeCell ref="B99:AH99"/>
    <mergeCell ref="B105:AH105"/>
    <mergeCell ref="A107:AH107"/>
    <mergeCell ref="A81:AH81"/>
    <mergeCell ref="A82:AH82"/>
    <mergeCell ref="B83:AH83"/>
    <mergeCell ref="B90:AH90"/>
    <mergeCell ref="B95:AH95"/>
    <mergeCell ref="A57:AH57"/>
    <mergeCell ref="B58:AH58"/>
    <mergeCell ref="B65:AH65"/>
    <mergeCell ref="B72:AH72"/>
    <mergeCell ref="B79:AH79"/>
    <mergeCell ref="B36:AH36"/>
    <mergeCell ref="B41:AH41"/>
    <mergeCell ref="B49:AH49"/>
    <mergeCell ref="B54:AH54"/>
    <mergeCell ref="A56:AH56"/>
    <mergeCell ref="B18:AH18"/>
    <mergeCell ref="B28:AH28"/>
    <mergeCell ref="B32:AH32"/>
    <mergeCell ref="A34:AH34"/>
    <mergeCell ref="A35:AH35"/>
    <mergeCell ref="A4:AH4"/>
    <mergeCell ref="B5:AH5"/>
    <mergeCell ref="B13:AH13"/>
    <mergeCell ref="A1:AH1"/>
    <mergeCell ref="I2:L2"/>
    <mergeCell ref="M2:P2"/>
    <mergeCell ref="Q2:T2"/>
    <mergeCell ref="U2:X2"/>
    <mergeCell ref="Y2:AB2"/>
    <mergeCell ref="AC2:AH2"/>
  </mergeCells>
  <conditionalFormatting sqref="H6">
    <cfRule type="cellIs" dxfId="242" priority="1" operator="equal">
      <formula>1</formula>
    </cfRule>
  </conditionalFormatting>
  <conditionalFormatting sqref="H6">
    <cfRule type="cellIs" dxfId="241" priority="2" operator="between">
      <formula>0.5</formula>
      <formula>0.75</formula>
    </cfRule>
  </conditionalFormatting>
  <conditionalFormatting sqref="H6">
    <cfRule type="cellIs" dxfId="240" priority="3" operator="equal">
      <formula>0.25</formula>
    </cfRule>
  </conditionalFormatting>
  <conditionalFormatting sqref="H7">
    <cfRule type="cellIs" dxfId="239" priority="4" operator="equal">
      <formula>1</formula>
    </cfRule>
  </conditionalFormatting>
  <conditionalFormatting sqref="H7">
    <cfRule type="cellIs" dxfId="238" priority="5" operator="between">
      <formula>0.5</formula>
      <formula>0.75</formula>
    </cfRule>
  </conditionalFormatting>
  <conditionalFormatting sqref="H7">
    <cfRule type="cellIs" dxfId="237" priority="6" operator="equal">
      <formula>0.25</formula>
    </cfRule>
  </conditionalFormatting>
  <conditionalFormatting sqref="H8">
    <cfRule type="cellIs" dxfId="236" priority="7" operator="equal">
      <formula>1</formula>
    </cfRule>
  </conditionalFormatting>
  <conditionalFormatting sqref="H8">
    <cfRule type="cellIs" dxfId="235" priority="8" operator="between">
      <formula>0.5</formula>
      <formula>0.75</formula>
    </cfRule>
  </conditionalFormatting>
  <conditionalFormatting sqref="H8">
    <cfRule type="cellIs" dxfId="234" priority="9" operator="equal">
      <formula>0.25</formula>
    </cfRule>
  </conditionalFormatting>
  <conditionalFormatting sqref="H9">
    <cfRule type="cellIs" dxfId="233" priority="10" operator="equal">
      <formula>1</formula>
    </cfRule>
  </conditionalFormatting>
  <conditionalFormatting sqref="H9">
    <cfRule type="cellIs" dxfId="232" priority="11" operator="between">
      <formula>0.5</formula>
      <formula>0.75</formula>
    </cfRule>
  </conditionalFormatting>
  <conditionalFormatting sqref="H9">
    <cfRule type="cellIs" dxfId="231" priority="12" operator="equal">
      <formula>0.25</formula>
    </cfRule>
  </conditionalFormatting>
  <conditionalFormatting sqref="H10">
    <cfRule type="cellIs" dxfId="230" priority="13" operator="equal">
      <formula>1</formula>
    </cfRule>
  </conditionalFormatting>
  <conditionalFormatting sqref="H10">
    <cfRule type="cellIs" dxfId="229" priority="14" operator="between">
      <formula>0.5</formula>
      <formula>0.75</formula>
    </cfRule>
  </conditionalFormatting>
  <conditionalFormatting sqref="H10">
    <cfRule type="cellIs" dxfId="228" priority="15" operator="equal">
      <formula>0.25</formula>
    </cfRule>
  </conditionalFormatting>
  <conditionalFormatting sqref="H11">
    <cfRule type="cellIs" dxfId="227" priority="16" operator="equal">
      <formula>1</formula>
    </cfRule>
  </conditionalFormatting>
  <conditionalFormatting sqref="H11">
    <cfRule type="cellIs" dxfId="226" priority="17" operator="between">
      <formula>0.5</formula>
      <formula>0.75</formula>
    </cfRule>
  </conditionalFormatting>
  <conditionalFormatting sqref="H11">
    <cfRule type="cellIs" dxfId="225" priority="18" operator="equal">
      <formula>0.25</formula>
    </cfRule>
  </conditionalFormatting>
  <conditionalFormatting sqref="H12">
    <cfRule type="cellIs" dxfId="224" priority="19" operator="equal">
      <formula>1</formula>
    </cfRule>
  </conditionalFormatting>
  <conditionalFormatting sqref="H12">
    <cfRule type="cellIs" dxfId="223" priority="20" operator="between">
      <formula>0.5</formula>
      <formula>0.75</formula>
    </cfRule>
  </conditionalFormatting>
  <conditionalFormatting sqref="H12">
    <cfRule type="cellIs" dxfId="222" priority="21" operator="equal">
      <formula>0.25</formula>
    </cfRule>
  </conditionalFormatting>
  <conditionalFormatting sqref="H14">
    <cfRule type="cellIs" dxfId="221" priority="22" operator="equal">
      <formula>1</formula>
    </cfRule>
  </conditionalFormatting>
  <conditionalFormatting sqref="H14">
    <cfRule type="cellIs" dxfId="220" priority="23" operator="between">
      <formula>0.5</formula>
      <formula>0.75</formula>
    </cfRule>
  </conditionalFormatting>
  <conditionalFormatting sqref="H14">
    <cfRule type="cellIs" dxfId="219" priority="24" operator="equal">
      <formula>0.25</formula>
    </cfRule>
  </conditionalFormatting>
  <conditionalFormatting sqref="H15">
    <cfRule type="cellIs" dxfId="218" priority="25" operator="equal">
      <formula>1</formula>
    </cfRule>
  </conditionalFormatting>
  <conditionalFormatting sqref="H15">
    <cfRule type="cellIs" dxfId="217" priority="26" operator="between">
      <formula>0.5</formula>
      <formula>0.75</formula>
    </cfRule>
  </conditionalFormatting>
  <conditionalFormatting sqref="H15">
    <cfRule type="cellIs" dxfId="216" priority="27" operator="equal">
      <formula>0.25</formula>
    </cfRule>
  </conditionalFormatting>
  <conditionalFormatting sqref="H16">
    <cfRule type="cellIs" dxfId="215" priority="28" operator="equal">
      <formula>1</formula>
    </cfRule>
  </conditionalFormatting>
  <conditionalFormatting sqref="H16">
    <cfRule type="cellIs" dxfId="214" priority="29" operator="between">
      <formula>0.5</formula>
      <formula>0.75</formula>
    </cfRule>
  </conditionalFormatting>
  <conditionalFormatting sqref="H16">
    <cfRule type="cellIs" dxfId="213" priority="30" operator="equal">
      <formula>0.25</formula>
    </cfRule>
  </conditionalFormatting>
  <conditionalFormatting sqref="H17">
    <cfRule type="cellIs" dxfId="212" priority="31" operator="equal">
      <formula>1</formula>
    </cfRule>
  </conditionalFormatting>
  <conditionalFormatting sqref="H17">
    <cfRule type="cellIs" dxfId="211" priority="32" operator="between">
      <formula>0.5</formula>
      <formula>0.75</formula>
    </cfRule>
  </conditionalFormatting>
  <conditionalFormatting sqref="H17">
    <cfRule type="cellIs" dxfId="210" priority="33" operator="equal">
      <formula>0.25</formula>
    </cfRule>
  </conditionalFormatting>
  <conditionalFormatting sqref="H19">
    <cfRule type="cellIs" dxfId="209" priority="34" operator="equal">
      <formula>1</formula>
    </cfRule>
  </conditionalFormatting>
  <conditionalFormatting sqref="H19">
    <cfRule type="cellIs" dxfId="208" priority="35" operator="between">
      <formula>0.5</formula>
      <formula>0.75</formula>
    </cfRule>
  </conditionalFormatting>
  <conditionalFormatting sqref="H19">
    <cfRule type="cellIs" dxfId="207" priority="36" operator="equal">
      <formula>0.25</formula>
    </cfRule>
  </conditionalFormatting>
  <conditionalFormatting sqref="H20">
    <cfRule type="cellIs" dxfId="206" priority="37" operator="equal">
      <formula>1</formula>
    </cfRule>
  </conditionalFormatting>
  <conditionalFormatting sqref="H20">
    <cfRule type="cellIs" dxfId="205" priority="38" operator="between">
      <formula>0.5</formula>
      <formula>0.75</formula>
    </cfRule>
  </conditionalFormatting>
  <conditionalFormatting sqref="H20">
    <cfRule type="cellIs" dxfId="204" priority="39" operator="equal">
      <formula>0.25</formula>
    </cfRule>
  </conditionalFormatting>
  <conditionalFormatting sqref="H21">
    <cfRule type="cellIs" dxfId="203" priority="40" operator="equal">
      <formula>1</formula>
    </cfRule>
  </conditionalFormatting>
  <conditionalFormatting sqref="H21">
    <cfRule type="cellIs" dxfId="202" priority="41" operator="between">
      <formula>0.5</formula>
      <formula>0.75</formula>
    </cfRule>
  </conditionalFormatting>
  <conditionalFormatting sqref="H21">
    <cfRule type="cellIs" dxfId="201" priority="42" operator="equal">
      <formula>0.25</formula>
    </cfRule>
  </conditionalFormatting>
  <conditionalFormatting sqref="H22">
    <cfRule type="cellIs" dxfId="200" priority="43" operator="equal">
      <formula>1</formula>
    </cfRule>
  </conditionalFormatting>
  <conditionalFormatting sqref="H22">
    <cfRule type="cellIs" dxfId="199" priority="44" operator="between">
      <formula>0.5</formula>
      <formula>0.75</formula>
    </cfRule>
  </conditionalFormatting>
  <conditionalFormatting sqref="H22">
    <cfRule type="cellIs" dxfId="198" priority="45" operator="equal">
      <formula>0.25</formula>
    </cfRule>
  </conditionalFormatting>
  <conditionalFormatting sqref="H23:H27">
    <cfRule type="cellIs" dxfId="197" priority="46" operator="equal">
      <formula>1</formula>
    </cfRule>
  </conditionalFormatting>
  <conditionalFormatting sqref="H23:H27">
    <cfRule type="cellIs" dxfId="196" priority="47" operator="between">
      <formula>0.5</formula>
      <formula>0.75</formula>
    </cfRule>
  </conditionalFormatting>
  <conditionalFormatting sqref="H23:H27">
    <cfRule type="cellIs" dxfId="195" priority="48" operator="equal">
      <formula>0.25</formula>
    </cfRule>
  </conditionalFormatting>
  <conditionalFormatting sqref="H29">
    <cfRule type="cellIs" dxfId="194" priority="49" operator="equal">
      <formula>1</formula>
    </cfRule>
  </conditionalFormatting>
  <conditionalFormatting sqref="H29">
    <cfRule type="cellIs" dxfId="193" priority="50" operator="between">
      <formula>0.5</formula>
      <formula>0.75</formula>
    </cfRule>
  </conditionalFormatting>
  <conditionalFormatting sqref="H29">
    <cfRule type="cellIs" dxfId="192" priority="51" operator="equal">
      <formula>0.25</formula>
    </cfRule>
  </conditionalFormatting>
  <conditionalFormatting sqref="H30">
    <cfRule type="cellIs" dxfId="191" priority="52" operator="equal">
      <formula>1</formula>
    </cfRule>
  </conditionalFormatting>
  <conditionalFormatting sqref="H30">
    <cfRule type="cellIs" dxfId="190" priority="53" operator="between">
      <formula>0.5</formula>
      <formula>0.75</formula>
    </cfRule>
  </conditionalFormatting>
  <conditionalFormatting sqref="H30">
    <cfRule type="cellIs" dxfId="189" priority="54" operator="equal">
      <formula>0.25</formula>
    </cfRule>
  </conditionalFormatting>
  <conditionalFormatting sqref="H31">
    <cfRule type="cellIs" dxfId="188" priority="55" operator="equal">
      <formula>1</formula>
    </cfRule>
  </conditionalFormatting>
  <conditionalFormatting sqref="H31">
    <cfRule type="cellIs" dxfId="187" priority="56" operator="between">
      <formula>0.5</formula>
      <formula>0.75</formula>
    </cfRule>
  </conditionalFormatting>
  <conditionalFormatting sqref="H31">
    <cfRule type="cellIs" dxfId="186" priority="57" operator="equal">
      <formula>0.25</formula>
    </cfRule>
  </conditionalFormatting>
  <conditionalFormatting sqref="H37">
    <cfRule type="cellIs" dxfId="185" priority="58" operator="equal">
      <formula>1</formula>
    </cfRule>
  </conditionalFormatting>
  <conditionalFormatting sqref="H37">
    <cfRule type="cellIs" dxfId="184" priority="59" operator="between">
      <formula>0.5</formula>
      <formula>0.75</formula>
    </cfRule>
  </conditionalFormatting>
  <conditionalFormatting sqref="H37">
    <cfRule type="cellIs" dxfId="183" priority="60" operator="equal">
      <formula>0.25</formula>
    </cfRule>
  </conditionalFormatting>
  <conditionalFormatting sqref="H38">
    <cfRule type="cellIs" dxfId="182" priority="61" operator="equal">
      <formula>1</formula>
    </cfRule>
  </conditionalFormatting>
  <conditionalFormatting sqref="H38">
    <cfRule type="cellIs" dxfId="181" priority="62" operator="between">
      <formula>0.5</formula>
      <formula>0.75</formula>
    </cfRule>
  </conditionalFormatting>
  <conditionalFormatting sqref="H38">
    <cfRule type="cellIs" dxfId="180" priority="63" operator="equal">
      <formula>0.25</formula>
    </cfRule>
  </conditionalFormatting>
  <conditionalFormatting sqref="H39">
    <cfRule type="cellIs" dxfId="179" priority="64" operator="equal">
      <formula>1</formula>
    </cfRule>
  </conditionalFormatting>
  <conditionalFormatting sqref="H39">
    <cfRule type="cellIs" dxfId="178" priority="65" operator="between">
      <formula>0.5</formula>
      <formula>0.75</formula>
    </cfRule>
  </conditionalFormatting>
  <conditionalFormatting sqref="H39">
    <cfRule type="cellIs" dxfId="177" priority="66" operator="equal">
      <formula>0.25</formula>
    </cfRule>
  </conditionalFormatting>
  <conditionalFormatting sqref="H40">
    <cfRule type="cellIs" dxfId="176" priority="67" operator="equal">
      <formula>1</formula>
    </cfRule>
  </conditionalFormatting>
  <conditionalFormatting sqref="H40">
    <cfRule type="cellIs" dxfId="175" priority="68" operator="between">
      <formula>0.5</formula>
      <formula>0.75</formula>
    </cfRule>
  </conditionalFormatting>
  <conditionalFormatting sqref="H40">
    <cfRule type="cellIs" dxfId="174" priority="69" operator="equal">
      <formula>0.25</formula>
    </cfRule>
  </conditionalFormatting>
  <conditionalFormatting sqref="H45">
    <cfRule type="cellIs" dxfId="173" priority="70" operator="equal">
      <formula>1</formula>
    </cfRule>
  </conditionalFormatting>
  <conditionalFormatting sqref="H45">
    <cfRule type="cellIs" dxfId="172" priority="71" operator="between">
      <formula>0.5</formula>
      <formula>0.75</formula>
    </cfRule>
  </conditionalFormatting>
  <conditionalFormatting sqref="H45">
    <cfRule type="cellIs" dxfId="171" priority="72" operator="equal">
      <formula>0.25</formula>
    </cfRule>
  </conditionalFormatting>
  <conditionalFormatting sqref="H46">
    <cfRule type="cellIs" dxfId="170" priority="73" operator="equal">
      <formula>1</formula>
    </cfRule>
  </conditionalFormatting>
  <conditionalFormatting sqref="H46">
    <cfRule type="cellIs" dxfId="169" priority="74" operator="between">
      <formula>0.5</formula>
      <formula>0.75</formula>
    </cfRule>
  </conditionalFormatting>
  <conditionalFormatting sqref="H46">
    <cfRule type="cellIs" dxfId="168" priority="75" operator="equal">
      <formula>0.25</formula>
    </cfRule>
  </conditionalFormatting>
  <conditionalFormatting sqref="H47:H48">
    <cfRule type="cellIs" dxfId="167" priority="76" operator="equal">
      <formula>1</formula>
    </cfRule>
  </conditionalFormatting>
  <conditionalFormatting sqref="H47:H48">
    <cfRule type="cellIs" dxfId="166" priority="77" operator="between">
      <formula>0.5</formula>
      <formula>0.75</formula>
    </cfRule>
  </conditionalFormatting>
  <conditionalFormatting sqref="H47:H48">
    <cfRule type="cellIs" dxfId="165" priority="78" operator="equal">
      <formula>0.25</formula>
    </cfRule>
  </conditionalFormatting>
  <conditionalFormatting sqref="H50">
    <cfRule type="cellIs" dxfId="164" priority="79" operator="equal">
      <formula>1</formula>
    </cfRule>
  </conditionalFormatting>
  <conditionalFormatting sqref="H50">
    <cfRule type="cellIs" dxfId="163" priority="80" operator="between">
      <formula>0.5</formula>
      <formula>0.75</formula>
    </cfRule>
  </conditionalFormatting>
  <conditionalFormatting sqref="H50">
    <cfRule type="cellIs" dxfId="162" priority="81" operator="equal">
      <formula>0.25</formula>
    </cfRule>
  </conditionalFormatting>
  <conditionalFormatting sqref="H51">
    <cfRule type="cellIs" dxfId="161" priority="82" operator="equal">
      <formula>1</formula>
    </cfRule>
  </conditionalFormatting>
  <conditionalFormatting sqref="H51">
    <cfRule type="cellIs" dxfId="160" priority="83" operator="between">
      <formula>0.5</formula>
      <formula>0.75</formula>
    </cfRule>
  </conditionalFormatting>
  <conditionalFormatting sqref="H51">
    <cfRule type="cellIs" dxfId="159" priority="84" operator="equal">
      <formula>0.25</formula>
    </cfRule>
  </conditionalFormatting>
  <conditionalFormatting sqref="H52">
    <cfRule type="cellIs" dxfId="158" priority="85" operator="equal">
      <formula>1</formula>
    </cfRule>
  </conditionalFormatting>
  <conditionalFormatting sqref="H52">
    <cfRule type="cellIs" dxfId="157" priority="86" operator="between">
      <formula>0.5</formula>
      <formula>0.75</formula>
    </cfRule>
  </conditionalFormatting>
  <conditionalFormatting sqref="H52">
    <cfRule type="cellIs" dxfId="156" priority="87" operator="equal">
      <formula>0.25</formula>
    </cfRule>
  </conditionalFormatting>
  <conditionalFormatting sqref="H53">
    <cfRule type="cellIs" dxfId="155" priority="88" operator="equal">
      <formula>1</formula>
    </cfRule>
  </conditionalFormatting>
  <conditionalFormatting sqref="H53">
    <cfRule type="cellIs" dxfId="154" priority="89" operator="between">
      <formula>0.5</formula>
      <formula>0.75</formula>
    </cfRule>
  </conditionalFormatting>
  <conditionalFormatting sqref="H53">
    <cfRule type="cellIs" dxfId="153" priority="90" operator="equal">
      <formula>0.25</formula>
    </cfRule>
  </conditionalFormatting>
  <conditionalFormatting sqref="H59">
    <cfRule type="cellIs" dxfId="152" priority="91" operator="equal">
      <formula>1</formula>
    </cfRule>
  </conditionalFormatting>
  <conditionalFormatting sqref="H59">
    <cfRule type="cellIs" dxfId="151" priority="92" operator="between">
      <formula>0.5</formula>
      <formula>0.75</formula>
    </cfRule>
  </conditionalFormatting>
  <conditionalFormatting sqref="H59">
    <cfRule type="cellIs" dxfId="150" priority="93" operator="equal">
      <formula>0.25</formula>
    </cfRule>
  </conditionalFormatting>
  <conditionalFormatting sqref="H60">
    <cfRule type="cellIs" dxfId="149" priority="94" operator="equal">
      <formula>1</formula>
    </cfRule>
  </conditionalFormatting>
  <conditionalFormatting sqref="H60">
    <cfRule type="cellIs" dxfId="148" priority="95" operator="between">
      <formula>0.5</formula>
      <formula>0.75</formula>
    </cfRule>
  </conditionalFormatting>
  <conditionalFormatting sqref="H60">
    <cfRule type="cellIs" dxfId="147" priority="96" operator="equal">
      <formula>0.25</formula>
    </cfRule>
  </conditionalFormatting>
  <conditionalFormatting sqref="H61">
    <cfRule type="cellIs" dxfId="146" priority="97" operator="equal">
      <formula>1</formula>
    </cfRule>
  </conditionalFormatting>
  <conditionalFormatting sqref="H61">
    <cfRule type="cellIs" dxfId="145" priority="98" operator="between">
      <formula>0.5</formula>
      <formula>0.75</formula>
    </cfRule>
  </conditionalFormatting>
  <conditionalFormatting sqref="H61">
    <cfRule type="cellIs" dxfId="144" priority="99" operator="equal">
      <formula>0.25</formula>
    </cfRule>
  </conditionalFormatting>
  <conditionalFormatting sqref="H62">
    <cfRule type="cellIs" dxfId="143" priority="100" operator="equal">
      <formula>1</formula>
    </cfRule>
  </conditionalFormatting>
  <conditionalFormatting sqref="H62">
    <cfRule type="cellIs" dxfId="142" priority="101" operator="between">
      <formula>0.5</formula>
      <formula>0.75</formula>
    </cfRule>
  </conditionalFormatting>
  <conditionalFormatting sqref="H62">
    <cfRule type="cellIs" dxfId="141" priority="102" operator="equal">
      <formula>0.25</formula>
    </cfRule>
  </conditionalFormatting>
  <conditionalFormatting sqref="H63">
    <cfRule type="cellIs" dxfId="140" priority="103" operator="equal">
      <formula>1</formula>
    </cfRule>
  </conditionalFormatting>
  <conditionalFormatting sqref="H63">
    <cfRule type="cellIs" dxfId="139" priority="104" operator="between">
      <formula>0.5</formula>
      <formula>0.75</formula>
    </cfRule>
  </conditionalFormatting>
  <conditionalFormatting sqref="H63">
    <cfRule type="cellIs" dxfId="138" priority="105" operator="equal">
      <formula>0.25</formula>
    </cfRule>
  </conditionalFormatting>
  <conditionalFormatting sqref="H64">
    <cfRule type="cellIs" dxfId="137" priority="106" operator="equal">
      <formula>1</formula>
    </cfRule>
  </conditionalFormatting>
  <conditionalFormatting sqref="H64">
    <cfRule type="cellIs" dxfId="136" priority="107" operator="between">
      <formula>0.5</formula>
      <formula>0.75</formula>
    </cfRule>
  </conditionalFormatting>
  <conditionalFormatting sqref="H64">
    <cfRule type="cellIs" dxfId="135" priority="108" operator="equal">
      <formula>0.25</formula>
    </cfRule>
  </conditionalFormatting>
  <conditionalFormatting sqref="H66">
    <cfRule type="cellIs" dxfId="134" priority="109" operator="equal">
      <formula>1</formula>
    </cfRule>
  </conditionalFormatting>
  <conditionalFormatting sqref="H66">
    <cfRule type="cellIs" dxfId="133" priority="110" operator="between">
      <formula>0.5</formula>
      <formula>0.75</formula>
    </cfRule>
  </conditionalFormatting>
  <conditionalFormatting sqref="H66">
    <cfRule type="cellIs" dxfId="132" priority="111" operator="equal">
      <formula>0.25</formula>
    </cfRule>
  </conditionalFormatting>
  <conditionalFormatting sqref="H67">
    <cfRule type="cellIs" dxfId="131" priority="112" operator="equal">
      <formula>1</formula>
    </cfRule>
  </conditionalFormatting>
  <conditionalFormatting sqref="H67">
    <cfRule type="cellIs" dxfId="130" priority="113" operator="between">
      <formula>0.5</formula>
      <formula>0.75</formula>
    </cfRule>
  </conditionalFormatting>
  <conditionalFormatting sqref="H67">
    <cfRule type="cellIs" dxfId="129" priority="114" operator="equal">
      <formula>0.25</formula>
    </cfRule>
  </conditionalFormatting>
  <conditionalFormatting sqref="H68">
    <cfRule type="cellIs" dxfId="128" priority="115" operator="equal">
      <formula>1</formula>
    </cfRule>
  </conditionalFormatting>
  <conditionalFormatting sqref="H68">
    <cfRule type="cellIs" dxfId="127" priority="116" operator="between">
      <formula>0.5</formula>
      <formula>0.75</formula>
    </cfRule>
  </conditionalFormatting>
  <conditionalFormatting sqref="H68">
    <cfRule type="cellIs" dxfId="126" priority="117" operator="equal">
      <formula>0.25</formula>
    </cfRule>
  </conditionalFormatting>
  <conditionalFormatting sqref="H69:H71">
    <cfRule type="cellIs" dxfId="125" priority="118" operator="equal">
      <formula>1</formula>
    </cfRule>
  </conditionalFormatting>
  <conditionalFormatting sqref="H69:H71">
    <cfRule type="cellIs" dxfId="124" priority="119" operator="between">
      <formula>0.5</formula>
      <formula>0.75</formula>
    </cfRule>
  </conditionalFormatting>
  <conditionalFormatting sqref="H69:H71">
    <cfRule type="cellIs" dxfId="123" priority="120" operator="equal">
      <formula>0.25</formula>
    </cfRule>
  </conditionalFormatting>
  <conditionalFormatting sqref="H73">
    <cfRule type="cellIs" dxfId="122" priority="121" operator="equal">
      <formula>1</formula>
    </cfRule>
  </conditionalFormatting>
  <conditionalFormatting sqref="H73">
    <cfRule type="cellIs" dxfId="121" priority="122" operator="between">
      <formula>0.5</formula>
      <formula>0.75</formula>
    </cfRule>
  </conditionalFormatting>
  <conditionalFormatting sqref="H73">
    <cfRule type="cellIs" dxfId="120" priority="123" operator="equal">
      <formula>0.25</formula>
    </cfRule>
  </conditionalFormatting>
  <conditionalFormatting sqref="H74">
    <cfRule type="cellIs" dxfId="119" priority="124" operator="equal">
      <formula>1</formula>
    </cfRule>
  </conditionalFormatting>
  <conditionalFormatting sqref="H74">
    <cfRule type="cellIs" dxfId="118" priority="125" operator="between">
      <formula>0.5</formula>
      <formula>0.75</formula>
    </cfRule>
  </conditionalFormatting>
  <conditionalFormatting sqref="H74">
    <cfRule type="cellIs" dxfId="117" priority="126" operator="equal">
      <formula>0.25</formula>
    </cfRule>
  </conditionalFormatting>
  <conditionalFormatting sqref="H75">
    <cfRule type="cellIs" dxfId="116" priority="127" operator="equal">
      <formula>1</formula>
    </cfRule>
  </conditionalFormatting>
  <conditionalFormatting sqref="H75">
    <cfRule type="cellIs" dxfId="115" priority="128" operator="between">
      <formula>0.5</formula>
      <formula>0.75</formula>
    </cfRule>
  </conditionalFormatting>
  <conditionalFormatting sqref="H75">
    <cfRule type="cellIs" dxfId="114" priority="129" operator="equal">
      <formula>0.25</formula>
    </cfRule>
  </conditionalFormatting>
  <conditionalFormatting sqref="H76">
    <cfRule type="cellIs" dxfId="113" priority="130" operator="equal">
      <formula>1</formula>
    </cfRule>
  </conditionalFormatting>
  <conditionalFormatting sqref="H76">
    <cfRule type="cellIs" dxfId="112" priority="131" operator="between">
      <formula>0.5</formula>
      <formula>0.75</formula>
    </cfRule>
  </conditionalFormatting>
  <conditionalFormatting sqref="H76">
    <cfRule type="cellIs" dxfId="111" priority="132" operator="equal">
      <formula>0.25</formula>
    </cfRule>
  </conditionalFormatting>
  <conditionalFormatting sqref="H77">
    <cfRule type="cellIs" dxfId="110" priority="133" operator="equal">
      <formula>1</formula>
    </cfRule>
  </conditionalFormatting>
  <conditionalFormatting sqref="H77">
    <cfRule type="cellIs" dxfId="109" priority="134" operator="between">
      <formula>0.5</formula>
      <formula>0.75</formula>
    </cfRule>
  </conditionalFormatting>
  <conditionalFormatting sqref="H77">
    <cfRule type="cellIs" dxfId="108" priority="135" operator="equal">
      <formula>0.25</formula>
    </cfRule>
  </conditionalFormatting>
  <conditionalFormatting sqref="H78">
    <cfRule type="cellIs" dxfId="107" priority="136" operator="equal">
      <formula>1</formula>
    </cfRule>
  </conditionalFormatting>
  <conditionalFormatting sqref="H78">
    <cfRule type="cellIs" dxfId="106" priority="137" operator="between">
      <formula>0.5</formula>
      <formula>0.75</formula>
    </cfRule>
  </conditionalFormatting>
  <conditionalFormatting sqref="H78">
    <cfRule type="cellIs" dxfId="105" priority="138" operator="equal">
      <formula>0.25</formula>
    </cfRule>
  </conditionalFormatting>
  <conditionalFormatting sqref="H84">
    <cfRule type="cellIs" dxfId="104" priority="139" operator="equal">
      <formula>1</formula>
    </cfRule>
  </conditionalFormatting>
  <conditionalFormatting sqref="H84">
    <cfRule type="cellIs" dxfId="103" priority="140" operator="between">
      <formula>0.5</formula>
      <formula>0.75</formula>
    </cfRule>
  </conditionalFormatting>
  <conditionalFormatting sqref="H84">
    <cfRule type="cellIs" dxfId="102" priority="141" operator="equal">
      <formula>0.25</formula>
    </cfRule>
  </conditionalFormatting>
  <conditionalFormatting sqref="H85">
    <cfRule type="cellIs" dxfId="101" priority="142" operator="equal">
      <formula>1</formula>
    </cfRule>
  </conditionalFormatting>
  <conditionalFormatting sqref="H85">
    <cfRule type="cellIs" dxfId="100" priority="143" operator="between">
      <formula>0.5</formula>
      <formula>0.75</formula>
    </cfRule>
  </conditionalFormatting>
  <conditionalFormatting sqref="H85">
    <cfRule type="cellIs" dxfId="99" priority="144" operator="equal">
      <formula>0.25</formula>
    </cfRule>
  </conditionalFormatting>
  <conditionalFormatting sqref="H86">
    <cfRule type="cellIs" dxfId="98" priority="145" operator="equal">
      <formula>1</formula>
    </cfRule>
  </conditionalFormatting>
  <conditionalFormatting sqref="H86">
    <cfRule type="cellIs" dxfId="97" priority="146" operator="between">
      <formula>0.5</formula>
      <formula>0.75</formula>
    </cfRule>
  </conditionalFormatting>
  <conditionalFormatting sqref="H86">
    <cfRule type="cellIs" dxfId="96" priority="147" operator="equal">
      <formula>0.25</formula>
    </cfRule>
  </conditionalFormatting>
  <conditionalFormatting sqref="H87">
    <cfRule type="cellIs" dxfId="95" priority="148" operator="equal">
      <formula>1</formula>
    </cfRule>
  </conditionalFormatting>
  <conditionalFormatting sqref="H87">
    <cfRule type="cellIs" dxfId="94" priority="149" operator="between">
      <formula>0.5</formula>
      <formula>0.75</formula>
    </cfRule>
  </conditionalFormatting>
  <conditionalFormatting sqref="H87">
    <cfRule type="cellIs" dxfId="93" priority="150" operator="equal">
      <formula>0.25</formula>
    </cfRule>
  </conditionalFormatting>
  <conditionalFormatting sqref="H88">
    <cfRule type="cellIs" dxfId="92" priority="151" operator="equal">
      <formula>1</formula>
    </cfRule>
  </conditionalFormatting>
  <conditionalFormatting sqref="H88">
    <cfRule type="cellIs" dxfId="91" priority="152" operator="between">
      <formula>0.5</formula>
      <formula>0.75</formula>
    </cfRule>
  </conditionalFormatting>
  <conditionalFormatting sqref="H88">
    <cfRule type="cellIs" dxfId="90" priority="153" operator="equal">
      <formula>0.25</formula>
    </cfRule>
  </conditionalFormatting>
  <conditionalFormatting sqref="H89">
    <cfRule type="cellIs" dxfId="89" priority="154" operator="equal">
      <formula>1</formula>
    </cfRule>
  </conditionalFormatting>
  <conditionalFormatting sqref="H89">
    <cfRule type="cellIs" dxfId="88" priority="155" operator="between">
      <formula>0.5</formula>
      <formula>0.75</formula>
    </cfRule>
  </conditionalFormatting>
  <conditionalFormatting sqref="H89">
    <cfRule type="cellIs" dxfId="87" priority="156" operator="equal">
      <formula>0.25</formula>
    </cfRule>
  </conditionalFormatting>
  <conditionalFormatting sqref="H91">
    <cfRule type="cellIs" dxfId="86" priority="157" operator="equal">
      <formula>1</formula>
    </cfRule>
  </conditionalFormatting>
  <conditionalFormatting sqref="H91">
    <cfRule type="cellIs" dxfId="85" priority="158" operator="between">
      <formula>0.5</formula>
      <formula>0.75</formula>
    </cfRule>
  </conditionalFormatting>
  <conditionalFormatting sqref="H91">
    <cfRule type="cellIs" dxfId="84" priority="159" operator="equal">
      <formula>0.25</formula>
    </cfRule>
  </conditionalFormatting>
  <conditionalFormatting sqref="H92">
    <cfRule type="cellIs" dxfId="83" priority="160" operator="equal">
      <formula>1</formula>
    </cfRule>
  </conditionalFormatting>
  <conditionalFormatting sqref="H92">
    <cfRule type="cellIs" dxfId="82" priority="161" operator="between">
      <formula>0.5</formula>
      <formula>0.75</formula>
    </cfRule>
  </conditionalFormatting>
  <conditionalFormatting sqref="H92">
    <cfRule type="cellIs" dxfId="81" priority="162" operator="equal">
      <formula>0.25</formula>
    </cfRule>
  </conditionalFormatting>
  <conditionalFormatting sqref="H93">
    <cfRule type="cellIs" dxfId="80" priority="163" operator="equal">
      <formula>1</formula>
    </cfRule>
  </conditionalFormatting>
  <conditionalFormatting sqref="H93">
    <cfRule type="cellIs" dxfId="79" priority="164" operator="between">
      <formula>0.5</formula>
      <formula>0.75</formula>
    </cfRule>
  </conditionalFormatting>
  <conditionalFormatting sqref="H93">
    <cfRule type="cellIs" dxfId="78" priority="165" operator="equal">
      <formula>0.25</formula>
    </cfRule>
  </conditionalFormatting>
  <conditionalFormatting sqref="H94">
    <cfRule type="cellIs" dxfId="77" priority="166" operator="equal">
      <formula>1</formula>
    </cfRule>
  </conditionalFormatting>
  <conditionalFormatting sqref="H94">
    <cfRule type="cellIs" dxfId="76" priority="167" operator="between">
      <formula>0.5</formula>
      <formula>0.75</formula>
    </cfRule>
  </conditionalFormatting>
  <conditionalFormatting sqref="H94">
    <cfRule type="cellIs" dxfId="75" priority="168" operator="equal">
      <formula>0.25</formula>
    </cfRule>
  </conditionalFormatting>
  <conditionalFormatting sqref="H100">
    <cfRule type="cellIs" dxfId="74" priority="169" operator="equal">
      <formula>1</formula>
    </cfRule>
  </conditionalFormatting>
  <conditionalFormatting sqref="H100">
    <cfRule type="cellIs" dxfId="73" priority="170" operator="between">
      <formula>0.5</formula>
      <formula>0.75</formula>
    </cfRule>
  </conditionalFormatting>
  <conditionalFormatting sqref="H100">
    <cfRule type="cellIs" dxfId="72" priority="171" operator="equal">
      <formula>0.25</formula>
    </cfRule>
  </conditionalFormatting>
  <conditionalFormatting sqref="H101">
    <cfRule type="cellIs" dxfId="71" priority="172" operator="equal">
      <formula>1</formula>
    </cfRule>
  </conditionalFormatting>
  <conditionalFormatting sqref="H101">
    <cfRule type="cellIs" dxfId="70" priority="173" operator="between">
      <formula>0.5</formula>
      <formula>0.75</formula>
    </cfRule>
  </conditionalFormatting>
  <conditionalFormatting sqref="H101">
    <cfRule type="cellIs" dxfId="69" priority="174" operator="equal">
      <formula>0.25</formula>
    </cfRule>
  </conditionalFormatting>
  <conditionalFormatting sqref="H102">
    <cfRule type="cellIs" dxfId="68" priority="175" operator="equal">
      <formula>1</formula>
    </cfRule>
  </conditionalFormatting>
  <conditionalFormatting sqref="H102">
    <cfRule type="cellIs" dxfId="67" priority="176" operator="between">
      <formula>0.5</formula>
      <formula>0.75</formula>
    </cfRule>
  </conditionalFormatting>
  <conditionalFormatting sqref="H102">
    <cfRule type="cellIs" dxfId="66" priority="177" operator="equal">
      <formula>0.25</formula>
    </cfRule>
  </conditionalFormatting>
  <conditionalFormatting sqref="H103">
    <cfRule type="cellIs" dxfId="65" priority="178" operator="equal">
      <formula>1</formula>
    </cfRule>
  </conditionalFormatting>
  <conditionalFormatting sqref="H103">
    <cfRule type="cellIs" dxfId="64" priority="179" operator="between">
      <formula>0.5</formula>
      <formula>0.75</formula>
    </cfRule>
  </conditionalFormatting>
  <conditionalFormatting sqref="H103">
    <cfRule type="cellIs" dxfId="63" priority="180" operator="equal">
      <formula>0.25</formula>
    </cfRule>
  </conditionalFormatting>
  <conditionalFormatting sqref="H104">
    <cfRule type="cellIs" dxfId="62" priority="181" operator="equal">
      <formula>1</formula>
    </cfRule>
  </conditionalFormatting>
  <conditionalFormatting sqref="H104">
    <cfRule type="cellIs" dxfId="61" priority="182" operator="between">
      <formula>0.5</formula>
      <formula>0.75</formula>
    </cfRule>
  </conditionalFormatting>
  <conditionalFormatting sqref="H104">
    <cfRule type="cellIs" dxfId="60" priority="183" operator="equal">
      <formula>0.25</formula>
    </cfRule>
  </conditionalFormatting>
  <conditionalFormatting sqref="H110">
    <cfRule type="cellIs" dxfId="59" priority="184" operator="equal">
      <formula>1</formula>
    </cfRule>
  </conditionalFormatting>
  <conditionalFormatting sqref="H110">
    <cfRule type="cellIs" dxfId="58" priority="185" operator="between">
      <formula>0.5</formula>
      <formula>0.75</formula>
    </cfRule>
  </conditionalFormatting>
  <conditionalFormatting sqref="H110">
    <cfRule type="cellIs" dxfId="57" priority="186" operator="equal">
      <formula>0.25</formula>
    </cfRule>
  </conditionalFormatting>
  <conditionalFormatting sqref="H111">
    <cfRule type="cellIs" dxfId="56" priority="187" operator="equal">
      <formula>1</formula>
    </cfRule>
  </conditionalFormatting>
  <conditionalFormatting sqref="H111">
    <cfRule type="cellIs" dxfId="55" priority="188" operator="between">
      <formula>0.5</formula>
      <formula>0.75</formula>
    </cfRule>
  </conditionalFormatting>
  <conditionalFormatting sqref="H111">
    <cfRule type="cellIs" dxfId="54" priority="189" operator="equal">
      <formula>0.25</formula>
    </cfRule>
  </conditionalFormatting>
  <conditionalFormatting sqref="H112">
    <cfRule type="cellIs" dxfId="53" priority="190" operator="equal">
      <formula>1</formula>
    </cfRule>
  </conditionalFormatting>
  <conditionalFormatting sqref="H112">
    <cfRule type="cellIs" dxfId="52" priority="191" operator="between">
      <formula>0.5</formula>
      <formula>0.75</formula>
    </cfRule>
  </conditionalFormatting>
  <conditionalFormatting sqref="H112">
    <cfRule type="cellIs" dxfId="51" priority="192" operator="equal">
      <formula>0.25</formula>
    </cfRule>
  </conditionalFormatting>
  <conditionalFormatting sqref="H113">
    <cfRule type="cellIs" dxfId="50" priority="193" operator="equal">
      <formula>1</formula>
    </cfRule>
  </conditionalFormatting>
  <conditionalFormatting sqref="H113">
    <cfRule type="cellIs" dxfId="49" priority="194" operator="between">
      <formula>0.5</formula>
      <formula>0.75</formula>
    </cfRule>
  </conditionalFormatting>
  <conditionalFormatting sqref="H113">
    <cfRule type="cellIs" dxfId="48" priority="195" operator="equal">
      <formula>0.25</formula>
    </cfRule>
  </conditionalFormatting>
  <conditionalFormatting sqref="H114">
    <cfRule type="cellIs" dxfId="47" priority="196" operator="equal">
      <formula>1</formula>
    </cfRule>
  </conditionalFormatting>
  <conditionalFormatting sqref="H114">
    <cfRule type="cellIs" dxfId="46" priority="197" operator="between">
      <formula>0.5</formula>
      <formula>0.75</formula>
    </cfRule>
  </conditionalFormatting>
  <conditionalFormatting sqref="H114">
    <cfRule type="cellIs" dxfId="45" priority="198" operator="equal">
      <formula>0.25</formula>
    </cfRule>
  </conditionalFormatting>
  <conditionalFormatting sqref="H116">
    <cfRule type="cellIs" dxfId="44" priority="199" operator="equal">
      <formula>1</formula>
    </cfRule>
  </conditionalFormatting>
  <conditionalFormatting sqref="H116">
    <cfRule type="cellIs" dxfId="43" priority="200" operator="between">
      <formula>0.5</formula>
      <formula>0.75</formula>
    </cfRule>
  </conditionalFormatting>
  <conditionalFormatting sqref="H116">
    <cfRule type="cellIs" dxfId="42" priority="201" operator="equal">
      <formula>0.25</formula>
    </cfRule>
  </conditionalFormatting>
  <conditionalFormatting sqref="H117">
    <cfRule type="cellIs" dxfId="41" priority="202" operator="equal">
      <formula>1</formula>
    </cfRule>
  </conditionalFormatting>
  <conditionalFormatting sqref="H117">
    <cfRule type="cellIs" dxfId="40" priority="203" operator="between">
      <formula>0.5</formula>
      <formula>0.75</formula>
    </cfRule>
  </conditionalFormatting>
  <conditionalFormatting sqref="H117">
    <cfRule type="cellIs" dxfId="39" priority="204" operator="equal">
      <formula>0.25</formula>
    </cfRule>
  </conditionalFormatting>
  <conditionalFormatting sqref="H118">
    <cfRule type="cellIs" dxfId="38" priority="205" operator="equal">
      <formula>1</formula>
    </cfRule>
  </conditionalFormatting>
  <conditionalFormatting sqref="H118">
    <cfRule type="cellIs" dxfId="37" priority="206" operator="between">
      <formula>0.5</formula>
      <formula>0.75</formula>
    </cfRule>
  </conditionalFormatting>
  <conditionalFormatting sqref="H118">
    <cfRule type="cellIs" dxfId="36" priority="207" operator="equal">
      <formula>0.25</formula>
    </cfRule>
  </conditionalFormatting>
  <conditionalFormatting sqref="H119">
    <cfRule type="cellIs" dxfId="35" priority="208" operator="equal">
      <formula>1</formula>
    </cfRule>
  </conditionalFormatting>
  <conditionalFormatting sqref="H119">
    <cfRule type="cellIs" dxfId="34" priority="209" operator="between">
      <formula>0.5</formula>
      <formula>0.75</formula>
    </cfRule>
  </conditionalFormatting>
  <conditionalFormatting sqref="H119">
    <cfRule type="cellIs" dxfId="33" priority="210" operator="equal">
      <formula>0.25</formula>
    </cfRule>
  </conditionalFormatting>
  <conditionalFormatting sqref="H125">
    <cfRule type="cellIs" dxfId="32" priority="211" operator="equal">
      <formula>1</formula>
    </cfRule>
  </conditionalFormatting>
  <conditionalFormatting sqref="H125">
    <cfRule type="cellIs" dxfId="31" priority="212" operator="between">
      <formula>0.5</formula>
      <formula>0.75</formula>
    </cfRule>
  </conditionalFormatting>
  <conditionalFormatting sqref="H125">
    <cfRule type="cellIs" dxfId="30" priority="213" operator="equal">
      <formula>0.25</formula>
    </cfRule>
  </conditionalFormatting>
  <conditionalFormatting sqref="H126">
    <cfRule type="cellIs" dxfId="29" priority="214" operator="equal">
      <formula>1</formula>
    </cfRule>
  </conditionalFormatting>
  <conditionalFormatting sqref="H126">
    <cfRule type="cellIs" dxfId="28" priority="215" operator="between">
      <formula>0.5</formula>
      <formula>0.75</formula>
    </cfRule>
  </conditionalFormatting>
  <conditionalFormatting sqref="H126">
    <cfRule type="cellIs" dxfId="27" priority="216" operator="equal">
      <formula>0.25</formula>
    </cfRule>
  </conditionalFormatting>
  <conditionalFormatting sqref="H127">
    <cfRule type="cellIs" dxfId="26" priority="217" operator="equal">
      <formula>1</formula>
    </cfRule>
  </conditionalFormatting>
  <conditionalFormatting sqref="H127">
    <cfRule type="cellIs" dxfId="25" priority="218" operator="between">
      <formula>0.5</formula>
      <formula>0.75</formula>
    </cfRule>
  </conditionalFormatting>
  <conditionalFormatting sqref="H127">
    <cfRule type="cellIs" dxfId="24" priority="219" operator="equal">
      <formula>0.25</formula>
    </cfRule>
  </conditionalFormatting>
  <conditionalFormatting sqref="H128">
    <cfRule type="cellIs" dxfId="23" priority="220" operator="equal">
      <formula>1</formula>
    </cfRule>
  </conditionalFormatting>
  <conditionalFormatting sqref="H128">
    <cfRule type="cellIs" dxfId="22" priority="221" operator="between">
      <formula>0.5</formula>
      <formula>0.75</formula>
    </cfRule>
  </conditionalFormatting>
  <conditionalFormatting sqref="H128">
    <cfRule type="cellIs" dxfId="21" priority="222" operator="equal">
      <formula>0.25</formula>
    </cfRule>
  </conditionalFormatting>
  <conditionalFormatting sqref="H129">
    <cfRule type="cellIs" dxfId="20" priority="223" operator="equal">
      <formula>1</formula>
    </cfRule>
  </conditionalFormatting>
  <conditionalFormatting sqref="H129">
    <cfRule type="cellIs" dxfId="19" priority="224" operator="between">
      <formula>0.5</formula>
      <formula>0.75</formula>
    </cfRule>
  </conditionalFormatting>
  <conditionalFormatting sqref="H129">
    <cfRule type="cellIs" dxfId="18" priority="225" operator="equal">
      <formula>0.25</formula>
    </cfRule>
  </conditionalFormatting>
  <conditionalFormatting sqref="H130">
    <cfRule type="cellIs" dxfId="17" priority="226" operator="equal">
      <formula>1</formula>
    </cfRule>
  </conditionalFormatting>
  <conditionalFormatting sqref="H130">
    <cfRule type="cellIs" dxfId="16" priority="227" operator="between">
      <formula>0.5</formula>
      <formula>0.75</formula>
    </cfRule>
  </conditionalFormatting>
  <conditionalFormatting sqref="H130">
    <cfRule type="cellIs" dxfId="15" priority="228" operator="equal">
      <formula>0.25</formula>
    </cfRule>
  </conditionalFormatting>
  <conditionalFormatting sqref="H131">
    <cfRule type="cellIs" dxfId="14" priority="229" operator="equal">
      <formula>1</formula>
    </cfRule>
  </conditionalFormatting>
  <conditionalFormatting sqref="H131">
    <cfRule type="cellIs" dxfId="13" priority="230" operator="between">
      <formula>0.5</formula>
      <formula>0.75</formula>
    </cfRule>
  </conditionalFormatting>
  <conditionalFormatting sqref="H131">
    <cfRule type="cellIs" dxfId="12" priority="231" operator="equal">
      <formula>0.25</formula>
    </cfRule>
  </conditionalFormatting>
  <conditionalFormatting sqref="H132">
    <cfRule type="cellIs" dxfId="11" priority="232" operator="equal">
      <formula>1</formula>
    </cfRule>
  </conditionalFormatting>
  <conditionalFormatting sqref="H132">
    <cfRule type="cellIs" dxfId="10" priority="233" operator="between">
      <formula>0.5</formula>
      <formula>0.75</formula>
    </cfRule>
  </conditionalFormatting>
  <conditionalFormatting sqref="H132">
    <cfRule type="cellIs" dxfId="9" priority="234" operator="equal">
      <formula>0.25</formula>
    </cfRule>
  </conditionalFormatting>
  <conditionalFormatting sqref="H133">
    <cfRule type="cellIs" dxfId="8" priority="235" operator="equal">
      <formula>1</formula>
    </cfRule>
  </conditionalFormatting>
  <conditionalFormatting sqref="H133">
    <cfRule type="cellIs" dxfId="7" priority="236" operator="between">
      <formula>0.5</formula>
      <formula>0.75</formula>
    </cfRule>
  </conditionalFormatting>
  <conditionalFormatting sqref="H133">
    <cfRule type="cellIs" dxfId="6" priority="237" operator="equal">
      <formula>0.25</formula>
    </cfRule>
  </conditionalFormatting>
  <conditionalFormatting sqref="I4:AH135">
    <cfRule type="containsText" dxfId="5" priority="238" operator="containsText" text="✓">
      <formula>NOT(ISERROR(SEARCH("✓",I4)))</formula>
    </cfRule>
  </conditionalFormatting>
  <conditionalFormatting sqref="I4:AH135">
    <cfRule type="containsText" dxfId="4" priority="239" operator="containsText" text="✗">
      <formula>NOT(ISERROR(SEARCH("✗",I4)))</formula>
    </cfRule>
  </conditionalFormatting>
  <conditionalFormatting sqref="I4:AH135">
    <cfRule type="containsText" dxfId="3" priority="240" operator="containsText" text="▶">
      <formula>NOT(ISERROR(SEARCH("▶",I4)))</formula>
    </cfRule>
  </conditionalFormatting>
  <dataValidations count="2">
    <dataValidation type="list" allowBlank="1" showInputMessage="1" showErrorMessage="1" sqref="H6 H7 H8 H9 H10 H11 H12 H14 H15 H16 H17 H19 H20 H21 H22 H23:H27 H29 H30 H31 H37 H38 H39 H40 H45 H46 H47:H48 H50 H51 H52 H53 H59 H60 H61 H62 H63 H64 H66 H67 H68 H69:H71 H73 H74 H75 H76 H77 H78 H84 H85 H86 H87 H88 H89 H91 H92 H93 H94 H100 H101 H102 H103 H104 H110 H111 H112 H113 H114 H116 H117 H118 H119 H125 H126 H127 H128 H129 H130 H131 H132 H133" xr:uid="{14DAF5C2-9487-4CAA-AC74-384AFFBACA10}">
      <formula1>"0%,25%,50%,75%,100%"</formula1>
    </dataValidation>
    <dataValidation type="list" allowBlank="1" showInputMessage="1" showErrorMessage="1" sqref="I6:AH6 I7:AH7 I8:AH8 I9:AH9 I10:AH10 I11:AH11 I12:AH12 I14:AH14 I15:AH15 I16:AH16 I17:AH17 I19:AH19 I20:AH20 I21:AH21 I22:AH22 I23:AH23 I25:AH25 I26:AH26 I27:AH27 I29:AH29 I30:AH30 I31:AH31 I37:AH37 I38:AH38 I39:AH39 I40:AH40 I43:AH43 I44:AH44 I45:AH45 I46:AH46 I47:AH47 I48:AH48 I50:AH50 I51:AH51 I52:AH52 I53:AH53 I59:AH59 I60:AH60 I61:AH61 I62:AH62 I63:AH63 I64:AH64 I66:AH66 I67:AH67 I68:AH68 I69:AH69 I70:AH70 I71:AH71 I73:AH73 I74:AH74 I75:AH75 I76:AH76 I77:AH77 I78:AH78 I84:AH84 I85:AH85 I86:AH86 I87:AH87 I88:AH88 I89:AH89 I91:AH91 I92:AH92 I93:AH93 I94:AH94 I100:AH100 I101:AH101 I102:AH102 I103:AH103 I104:AH104 I110:AH110 I111:AH111 I112:AH112 I113:AH113 I114:AH114 I116:AH116 I117:AH117 I118:AH118 I119:AH119 I125:AH125 I126:AH126 I127:AH127 I128:AH128 I129:AH129 I130:AH130 I131:AH131 I132:AH132 I133:AH133" xr:uid="{C3A08B51-21AF-409C-BC14-D0B5AE45DE89}">
      <formula1>",✓,▶,✗"</formula1>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6A60D-F652-45D3-BF3E-694C8DFACC7B}">
  <sheetPr>
    <tabColor rgb="FF0B1120"/>
  </sheetPr>
  <dimension ref="A1:I18"/>
  <sheetViews>
    <sheetView tabSelected="1" workbookViewId="0">
      <pane ySplit="3" topLeftCell="A4" activePane="bottomLeft" state="frozen"/>
      <selection pane="bottomLeft" activeCell="E8" sqref="E8"/>
    </sheetView>
  </sheetViews>
  <sheetFormatPr defaultRowHeight="14.5" x14ac:dyDescent="0.35"/>
  <cols>
    <col min="1" max="1" width="2.7265625" customWidth="1"/>
    <col min="2" max="2" width="6.36328125" customWidth="1"/>
    <col min="3" max="3" width="10.90625" customWidth="1"/>
    <col min="4" max="4" width="11.81640625" customWidth="1"/>
    <col min="5" max="5" width="72.7265625" customWidth="1"/>
    <col min="6" max="6" width="13.6328125" customWidth="1"/>
    <col min="7" max="7" width="14.54296875" customWidth="1"/>
    <col min="8" max="8" width="17.26953125" customWidth="1"/>
    <col min="9" max="9" width="36.36328125" customWidth="1"/>
  </cols>
  <sheetData>
    <row r="1" spans="1:9" ht="30" customHeight="1" x14ac:dyDescent="0.45">
      <c r="A1" s="126" t="s">
        <v>306</v>
      </c>
      <c r="B1" s="126"/>
      <c r="C1" s="126"/>
      <c r="D1" s="126"/>
      <c r="E1" s="126"/>
      <c r="F1" s="126"/>
      <c r="G1" s="126"/>
      <c r="H1" s="126"/>
      <c r="I1" s="126"/>
    </row>
    <row r="2" spans="1:9" ht="6" customHeight="1" x14ac:dyDescent="0.35">
      <c r="A2" s="86"/>
      <c r="B2" s="86"/>
      <c r="C2" s="86"/>
      <c r="D2" s="86"/>
      <c r="E2" s="86"/>
      <c r="F2" s="86"/>
      <c r="G2" s="86"/>
      <c r="H2" s="86"/>
      <c r="I2" s="86"/>
    </row>
    <row r="3" spans="1:9" ht="22" customHeight="1" x14ac:dyDescent="0.35">
      <c r="A3" s="87"/>
      <c r="B3" s="87" t="s">
        <v>6</v>
      </c>
      <c r="C3" s="88" t="s">
        <v>220</v>
      </c>
      <c r="D3" s="88" t="s">
        <v>221</v>
      </c>
      <c r="E3" s="88" t="s">
        <v>222</v>
      </c>
      <c r="F3" s="87" t="s">
        <v>223</v>
      </c>
      <c r="G3" s="87" t="s">
        <v>11</v>
      </c>
      <c r="H3" s="87" t="s">
        <v>224</v>
      </c>
      <c r="I3" s="88" t="s">
        <v>225</v>
      </c>
    </row>
    <row r="4" spans="1:9" ht="28" customHeight="1" x14ac:dyDescent="0.35">
      <c r="A4" s="89"/>
      <c r="B4" s="90" t="s">
        <v>38</v>
      </c>
      <c r="C4" s="92" t="s">
        <v>39</v>
      </c>
      <c r="D4" s="93" t="s">
        <v>40</v>
      </c>
      <c r="E4" s="128" t="s">
        <v>232</v>
      </c>
      <c r="F4" s="95" t="s">
        <v>15</v>
      </c>
      <c r="G4" s="96" t="s">
        <v>61</v>
      </c>
      <c r="H4" s="98"/>
      <c r="I4" s="130"/>
    </row>
    <row r="5" spans="1:9" ht="28" customHeight="1" x14ac:dyDescent="0.35">
      <c r="A5" s="100"/>
      <c r="B5" s="90" t="s">
        <v>44</v>
      </c>
      <c r="C5" s="101" t="s">
        <v>39</v>
      </c>
      <c r="D5" s="93" t="s">
        <v>45</v>
      </c>
      <c r="E5" s="128" t="s">
        <v>233</v>
      </c>
      <c r="F5" s="102" t="s">
        <v>19</v>
      </c>
      <c r="G5" s="96" t="s">
        <v>61</v>
      </c>
      <c r="H5" s="98"/>
      <c r="I5" s="130"/>
    </row>
    <row r="6" spans="1:9" ht="28" customHeight="1" x14ac:dyDescent="0.35">
      <c r="A6" s="100"/>
      <c r="B6" s="90" t="s">
        <v>46</v>
      </c>
      <c r="C6" s="103" t="s">
        <v>39</v>
      </c>
      <c r="D6" s="93" t="s">
        <v>47</v>
      </c>
      <c r="E6" s="128" t="s">
        <v>234</v>
      </c>
      <c r="F6" s="104" t="s">
        <v>23</v>
      </c>
      <c r="G6" s="96" t="s">
        <v>61</v>
      </c>
      <c r="H6" s="98"/>
      <c r="I6" s="130"/>
    </row>
    <row r="7" spans="1:9" ht="28" customHeight="1" x14ac:dyDescent="0.35">
      <c r="A7" s="100"/>
      <c r="B7" s="90" t="s">
        <v>48</v>
      </c>
      <c r="C7" s="105" t="s">
        <v>39</v>
      </c>
      <c r="D7" s="93" t="s">
        <v>47</v>
      </c>
      <c r="E7" s="128" t="s">
        <v>235</v>
      </c>
      <c r="F7" s="106" t="s">
        <v>23</v>
      </c>
      <c r="G7" s="96" t="s">
        <v>61</v>
      </c>
      <c r="H7" s="98"/>
      <c r="I7" s="130"/>
    </row>
    <row r="8" spans="1:9" ht="28" customHeight="1" x14ac:dyDescent="0.35">
      <c r="A8" s="100"/>
      <c r="B8" s="90" t="s">
        <v>49</v>
      </c>
      <c r="C8" s="107" t="s">
        <v>50</v>
      </c>
      <c r="D8" s="93" t="s">
        <v>51</v>
      </c>
      <c r="E8" s="128" t="s">
        <v>236</v>
      </c>
      <c r="F8" s="108" t="s">
        <v>27</v>
      </c>
      <c r="G8" s="96" t="s">
        <v>61</v>
      </c>
      <c r="H8" s="98"/>
      <c r="I8" s="130"/>
    </row>
    <row r="9" spans="1:9" ht="28" customHeight="1" x14ac:dyDescent="0.35">
      <c r="A9" s="100"/>
      <c r="B9" s="90" t="s">
        <v>52</v>
      </c>
      <c r="C9" s="109" t="s">
        <v>50</v>
      </c>
      <c r="D9" s="93" t="s">
        <v>53</v>
      </c>
      <c r="E9" s="128" t="s">
        <v>237</v>
      </c>
      <c r="F9" s="110" t="s">
        <v>31</v>
      </c>
      <c r="G9" s="96" t="s">
        <v>61</v>
      </c>
      <c r="H9" s="98"/>
      <c r="I9" s="130"/>
    </row>
    <row r="10" spans="1:9" ht="28" customHeight="1" x14ac:dyDescent="0.35">
      <c r="A10" s="100"/>
      <c r="B10" s="91" t="s">
        <v>54</v>
      </c>
      <c r="C10" s="111" t="s">
        <v>50</v>
      </c>
      <c r="D10" s="94" t="s">
        <v>55</v>
      </c>
      <c r="E10" s="129" t="s">
        <v>238</v>
      </c>
      <c r="F10" s="112" t="s">
        <v>37</v>
      </c>
      <c r="G10" s="97" t="s">
        <v>61</v>
      </c>
      <c r="H10" s="99"/>
      <c r="I10" s="131"/>
    </row>
    <row r="11" spans="1:9" ht="4" customHeight="1" x14ac:dyDescent="0.35"/>
    <row r="12" spans="1:9" ht="8" customHeight="1" x14ac:dyDescent="0.35">
      <c r="A12" s="113"/>
      <c r="B12" s="113"/>
      <c r="C12" s="113"/>
      <c r="D12" s="113"/>
      <c r="E12" s="113"/>
      <c r="F12" s="113"/>
      <c r="G12" s="113"/>
      <c r="H12" s="113"/>
      <c r="I12" s="113"/>
    </row>
    <row r="13" spans="1:9" ht="24" customHeight="1" x14ac:dyDescent="0.35">
      <c r="A13" s="127" t="s">
        <v>226</v>
      </c>
      <c r="B13" s="127"/>
      <c r="C13" s="127"/>
      <c r="D13" s="127"/>
      <c r="E13" s="127"/>
      <c r="F13" s="127"/>
      <c r="G13" s="127"/>
      <c r="H13" s="127"/>
      <c r="I13" s="127"/>
    </row>
    <row r="14" spans="1:9" ht="22" customHeight="1" x14ac:dyDescent="0.35">
      <c r="B14" s="114" t="s">
        <v>227</v>
      </c>
      <c r="C14" s="115"/>
      <c r="D14" s="115"/>
      <c r="E14" s="115"/>
      <c r="F14" s="116">
        <v>7</v>
      </c>
    </row>
    <row r="15" spans="1:9" ht="22" customHeight="1" x14ac:dyDescent="0.35">
      <c r="B15" s="117" t="s">
        <v>228</v>
      </c>
      <c r="C15" s="118"/>
      <c r="D15" s="118"/>
      <c r="E15" s="118"/>
      <c r="F15" s="119">
        <f>COUNTIF(G4:G10,"Done")</f>
        <v>0</v>
      </c>
    </row>
    <row r="16" spans="1:9" ht="22" customHeight="1" x14ac:dyDescent="0.35">
      <c r="B16" s="120" t="s">
        <v>73</v>
      </c>
      <c r="C16" s="121"/>
      <c r="D16" s="121"/>
      <c r="E16" s="121"/>
      <c r="F16" s="122">
        <f>COUNTIF(G4:G10,"In Progress")</f>
        <v>0</v>
      </c>
    </row>
    <row r="17" spans="2:6" ht="22" customHeight="1" x14ac:dyDescent="0.35">
      <c r="B17" s="123" t="s">
        <v>229</v>
      </c>
      <c r="C17" s="124"/>
      <c r="D17" s="124"/>
      <c r="E17" s="124"/>
      <c r="F17" s="125">
        <f>7-F15-F16</f>
        <v>7</v>
      </c>
    </row>
    <row r="18" spans="2:6" ht="8" customHeight="1" x14ac:dyDescent="0.35"/>
  </sheetData>
  <mergeCells count="2">
    <mergeCell ref="A1:I1"/>
    <mergeCell ref="A13:I13"/>
  </mergeCells>
  <conditionalFormatting sqref="G4:G10">
    <cfRule type="containsText" dxfId="2" priority="1" operator="containsText" text="Done">
      <formula>NOT(ISERROR(SEARCH("Done",G4)))</formula>
    </cfRule>
  </conditionalFormatting>
  <conditionalFormatting sqref="G4:G10">
    <cfRule type="containsText" dxfId="1" priority="2" operator="containsText" text="In Progress">
      <formula>NOT(ISERROR(SEARCH("In Progress",G4)))</formula>
    </cfRule>
  </conditionalFormatting>
  <conditionalFormatting sqref="G4:G10">
    <cfRule type="containsText" dxfId="0" priority="3" operator="containsText" text="Blocked">
      <formula>NOT(ISERROR(SEARCH("Blocked",G4)))</formula>
    </cfRule>
  </conditionalFormatting>
  <dataValidations count="1">
    <dataValidation type="list" allowBlank="1" showInputMessage="1" showErrorMessage="1" sqref="G4:G10" xr:uid="{A1785178-664C-41D3-859C-7BC522A2B392}">
      <formula1>"Planned,In Progress,Done,Blocked"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Project Plan</vt:lpstr>
      <vt:lpstr>Stakeholder 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Deepak S</cp:lastModifiedBy>
  <cp:revision>0</cp:revision>
  <dcterms:created xsi:type="dcterms:W3CDTF">2026-03-22T15:04:57Z</dcterms:created>
  <dcterms:modified xsi:type="dcterms:W3CDTF">2026-03-23T17:12:19Z</dcterms:modified>
  <dc:language>en-US</dc:language>
</cp:coreProperties>
</file>